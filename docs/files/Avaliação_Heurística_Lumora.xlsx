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8"/>
  <workbookPr updateLinks="always"/>
  <mc:AlternateContent xmlns:mc="http://schemas.openxmlformats.org/markup-compatibility/2006">
    <mc:Choice Requires="x15">
      <x15ac:absPath xmlns:x15ac="http://schemas.microsoft.com/office/spreadsheetml/2010/11/ac" url="C:\Users\fmart\Downloads\archive\"/>
    </mc:Choice>
  </mc:AlternateContent>
  <xr:revisionPtr revIDLastSave="0" documentId="8_{57E0A4C4-75A5-46F7-919E-48B3835977CA}" xr6:coauthVersionLast="47" xr6:coauthVersionMax="47" xr10:uidLastSave="{00000000-0000-0000-0000-000000000000}"/>
  <bookViews>
    <workbookView xWindow="0" yWindow="0" windowWidth="16380" windowHeight="8196" tabRatio="500" firstSheet="1" activeTab="6" xr2:uid="{00000000-000D-0000-FFFF-FFFF00000000}"/>
  </bookViews>
  <sheets>
    <sheet name="Principal" sheetId="1" r:id="rId1"/>
    <sheet name="Parecer 1 - Caroline" sheetId="3" r:id="rId2"/>
    <sheet name="Parecer 2 - Divino" sheetId="4" r:id="rId3"/>
    <sheet name="Parecer 6 - Nicole" sheetId="8" r:id="rId4"/>
    <sheet name="Parecer 3 - Felipe" sheetId="5" r:id="rId5"/>
    <sheet name="Parecer 4 - Kamila" sheetId="6" r:id="rId6"/>
    <sheet name="Parecer 5 - Luiza" sheetId="7" r:id="rId7"/>
    <sheet name="Consolidação" sheetId="9" state="hidden" r:id="rId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 i="9" l="1"/>
  <c r="A27" i="9"/>
  <c r="Q15" i="9"/>
  <c r="Q16" i="9"/>
  <c r="Q17" i="9"/>
  <c r="Q18" i="9"/>
  <c r="Q19" i="9"/>
  <c r="Q20" i="9"/>
  <c r="Q21" i="9"/>
  <c r="Q22" i="9"/>
  <c r="Q23" i="9"/>
  <c r="Q14" i="9"/>
  <c r="N15" i="9"/>
  <c r="N16" i="9"/>
  <c r="N17" i="9"/>
  <c r="N18" i="9"/>
  <c r="N19" i="9"/>
  <c r="N20" i="9"/>
  <c r="N21" i="9"/>
  <c r="N22" i="9"/>
  <c r="N23" i="9"/>
  <c r="N14" i="9"/>
  <c r="K15" i="9"/>
  <c r="K16" i="9"/>
  <c r="K17" i="9"/>
  <c r="K18" i="9"/>
  <c r="K19" i="9"/>
  <c r="K20" i="9"/>
  <c r="K21" i="9"/>
  <c r="K22" i="9"/>
  <c r="K23" i="9"/>
  <c r="K14" i="9"/>
  <c r="H15" i="9"/>
  <c r="H16" i="9"/>
  <c r="H17" i="9"/>
  <c r="H18" i="9"/>
  <c r="H19" i="9"/>
  <c r="H20" i="9"/>
  <c r="H21" i="9"/>
  <c r="H22" i="9"/>
  <c r="H23" i="9"/>
  <c r="H14" i="9"/>
  <c r="E15" i="9"/>
  <c r="E16" i="9"/>
  <c r="E17" i="9"/>
  <c r="E18" i="9"/>
  <c r="E19" i="9"/>
  <c r="E20" i="9"/>
  <c r="E21" i="9"/>
  <c r="E22" i="9"/>
  <c r="E23" i="9"/>
  <c r="E14" i="9"/>
  <c r="B15" i="9"/>
  <c r="B16" i="9"/>
  <c r="B17" i="9"/>
  <c r="B18" i="9"/>
  <c r="B19" i="9"/>
  <c r="B20" i="9"/>
  <c r="B21" i="9"/>
  <c r="B22" i="9"/>
  <c r="B23" i="9"/>
  <c r="B14" i="9"/>
  <c r="Q3" i="9"/>
  <c r="Q4" i="9"/>
  <c r="Q5" i="9"/>
  <c r="Q6" i="9"/>
  <c r="Q7" i="9"/>
  <c r="Q8" i="9"/>
  <c r="Q9" i="9"/>
  <c r="Q10" i="9"/>
  <c r="Q11" i="9"/>
  <c r="Q2" i="9"/>
  <c r="N3" i="9"/>
  <c r="N4" i="9"/>
  <c r="N5" i="9"/>
  <c r="N6" i="9"/>
  <c r="N7" i="9"/>
  <c r="N8" i="9"/>
  <c r="N9" i="9"/>
  <c r="N10" i="9"/>
  <c r="N11" i="9"/>
  <c r="N2" i="9"/>
  <c r="K3" i="9"/>
  <c r="K4" i="9"/>
  <c r="K5" i="9"/>
  <c r="K6" i="9"/>
  <c r="K7" i="9"/>
  <c r="K8" i="9"/>
  <c r="K9" i="9"/>
  <c r="K10" i="9"/>
  <c r="K11" i="9"/>
  <c r="K2" i="9"/>
  <c r="H3" i="9"/>
  <c r="H4" i="9"/>
  <c r="H5" i="9"/>
  <c r="H6" i="9"/>
  <c r="H7" i="9"/>
  <c r="H8" i="9"/>
  <c r="H9" i="9"/>
  <c r="H10" i="9"/>
  <c r="H11" i="9"/>
  <c r="H2" i="9"/>
  <c r="E2" i="9"/>
  <c r="B27" i="9" s="1"/>
  <c r="E6" i="1" s="1"/>
  <c r="E3" i="9"/>
  <c r="E4" i="9"/>
  <c r="E5" i="9"/>
  <c r="B30" i="9" s="1"/>
  <c r="E9" i="1" s="1"/>
  <c r="E6" i="9"/>
  <c r="E7" i="9"/>
  <c r="E8" i="9"/>
  <c r="E9" i="9"/>
  <c r="E10" i="9"/>
  <c r="E11" i="9"/>
  <c r="D6" i="1"/>
  <c r="B4" i="9"/>
  <c r="B5" i="9"/>
  <c r="A30" i="9" s="1"/>
  <c r="D9" i="1" s="1"/>
  <c r="B6" i="9"/>
  <c r="A31" i="9" s="1"/>
  <c r="D10" i="1" s="1"/>
  <c r="B7" i="9"/>
  <c r="A32" i="9" s="1"/>
  <c r="D11" i="1" s="1"/>
  <c r="B8" i="9"/>
  <c r="A33" i="9" s="1"/>
  <c r="D12" i="1" s="1"/>
  <c r="B9" i="9"/>
  <c r="A34" i="9" s="1"/>
  <c r="D13" i="1" s="1"/>
  <c r="B10" i="9"/>
  <c r="A35" i="9" s="1"/>
  <c r="D14" i="1" s="1"/>
  <c r="B11" i="9"/>
  <c r="A36" i="9" s="1"/>
  <c r="D15" i="1" s="1"/>
  <c r="B3" i="9"/>
  <c r="A28" i="9" s="1"/>
  <c r="D7" i="1" s="1"/>
  <c r="B28" i="9" l="1"/>
  <c r="E7" i="1" s="1"/>
  <c r="A29" i="9"/>
  <c r="D8" i="1" s="1"/>
  <c r="B35" i="9"/>
  <c r="E14" i="1" s="1"/>
  <c r="B36" i="9"/>
  <c r="E15" i="1" s="1"/>
  <c r="B33" i="9"/>
  <c r="E12" i="1" s="1"/>
  <c r="B34" i="9"/>
  <c r="E13" i="1" s="1"/>
  <c r="B32" i="9"/>
  <c r="E11" i="1" s="1"/>
  <c r="B31" i="9"/>
  <c r="E10" i="1" s="1"/>
  <c r="B29" i="9"/>
  <c r="E8" i="1" s="1"/>
</calcChain>
</file>

<file path=xl/sharedStrings.xml><?xml version="1.0" encoding="utf-8"?>
<sst xmlns="http://schemas.openxmlformats.org/spreadsheetml/2006/main" count="386" uniqueCount="146">
  <si>
    <t>PARECER TÉCNICO: AVALIAÇÃO HEURÍSTICA</t>
  </si>
  <si>
    <t>Nome do sistema:</t>
  </si>
  <si>
    <t>Lumora</t>
  </si>
  <si>
    <t>Acesso (link) para protótipo/sistema:</t>
  </si>
  <si>
    <t>https://github.com/ICEI-PUC-Minas-PMV-SI/pmv-si-2026-1-pe3-t4-lumora/tree/main/src/aplicacao</t>
  </si>
  <si>
    <t>Nomes dos integrantes da Equipe:</t>
  </si>
  <si>
    <t xml:space="preserve">Caroline Teresa Selvecki, Divino Armando Batista Soares, Felipe Fernandes Jardim, Kamila Júlia do Espírito Santo, Luiza Trevenzoli Castor, Nicole Mikaely Amaral Santos Silva </t>
  </si>
  <si>
    <t>Número</t>
  </si>
  <si>
    <t>Título da Heurística</t>
  </si>
  <si>
    <t>Descrição da Heurística</t>
  </si>
  <si>
    <t>Problemas encontrados</t>
  </si>
  <si>
    <t>Sugestões</t>
  </si>
  <si>
    <t>Visibilidade do status do sistema</t>
  </si>
  <si>
    <t>O sistema sempre deve manter os usuários informados sobre o que está acontecendo, por meio de feedback apropriado dentro de um prazo razoável.</t>
  </si>
  <si>
    <t>Correspondência entre o sistema e o mundo real</t>
  </si>
  <si>
    <t>O sistema deve falar o idioma do usuário, com palavras, frases e conceitos familiares ao usuário, em vez de termos orientados ao sistema. Siga as convenções do mundo real, fazendo as informações aparecerem em uma ordem natural e lógica.</t>
  </si>
  <si>
    <t>Controle e liberdade do usuário</t>
  </si>
  <si>
    <t>Os usuários geralmente escolhem as funções do sistema por engano e precisam de uma "saída de emergência" claramente marcada para deixar o estado indesejado sem ter que passar por um diálogo prolongado. Suporte para desfazer e refazer.</t>
  </si>
  <si>
    <t>Consistência e padrões</t>
  </si>
  <si>
    <t xml:space="preserve">Os usuários não devem se perguntar se palavras, situações ou ações diferentes significam a mesma coisa.
</t>
  </si>
  <si>
    <t>Prevenção de erros</t>
  </si>
  <si>
    <t>Elimine condições propensas a erros ou verifique-as e apresente aos usuários uma opção de confirmação antes que eles se comprometam com a ação.</t>
  </si>
  <si>
    <t>Reconhecimento em vez de recordação</t>
  </si>
  <si>
    <t>Minimize a carga de memória do usuário, tornando objetos, ações e opções visíveis. O usuário não deve ter que lembrar informações de uma parte do diálogo para outra. As instruções de uso do sistema devem ser visíveis ou facilmente recuperáveis sempre que apropriado.</t>
  </si>
  <si>
    <t>Flexibilidade e eficiência de uso</t>
  </si>
  <si>
    <t>Aceleradores - invisíveis para o usuário iniciante - geralmente aceleram a interação do usuário experiente, de modo que o sistema possa atender a usuários inexperientes e experientes. Permita que os usuários adaptem ações frequentes.</t>
  </si>
  <si>
    <t>Design estético e minimalista</t>
  </si>
  <si>
    <t>Os diálogos não devem conter informações irrelevantes ou raramente necessárias. Cada unidade extra de informação em um diálogo concorre com as unidades relevantes de informação e diminui sua visibilidade relativa.</t>
  </si>
  <si>
    <t>Ajude os usuários a reconhecer, diagnosticar e recuperar de erros</t>
  </si>
  <si>
    <t>As mensagens de erro devem ser expressas em linguagem simples (sem códigos), indicar com precisão o problema e sugerir construtivamente uma solução.</t>
  </si>
  <si>
    <t>Ajuda e documentação</t>
  </si>
  <si>
    <t>Mesmo que seja melhor se o sistema puder ser usado sem documentação, pode ser necessário fornecer ajuda e documentação. Essas informações devem ser fáceis de pesquisar, focadas na tarefa do usuário, listar etapas concretas a serem executadas e não serem muito grandes.</t>
  </si>
  <si>
    <t>Referência</t>
  </si>
  <si>
    <t>“10 Heurísticas de usabilidade para o design de interface do usuário” -  por Jakob Nielsen em 24 de abril de 1994</t>
  </si>
  <si>
    <t xml:space="preserve">https://www.nngroup.com/articles/ten-usability-heuristics/ </t>
  </si>
  <si>
    <t xml:space="preserve">https://github.com/ICEI-PUC-Minas-PMV-SI/pmv-si-2026-1-pe3-t4-lumora/tree/55bab6ae1f43c5f7058ad9a66fe8e4b4e95b5959/docs/apresentacao			</t>
  </si>
  <si>
    <t>Caroline Teresa Selvecki</t>
  </si>
  <si>
    <t>O sistema apresenta o dia selecionado, tarefas e agenda de forma clara. Porém, ao marcar uma tarefa como concluída, não existe uma confirmação visual muito evidente além do texto riscado.</t>
  </si>
  <si>
    <t>Adicionar uma pequena animação, alteração de cor ou mensagem visual indicando que a tarefa foi concluída com sucesso.</t>
  </si>
  <si>
    <t>A maior parte dos termos utilizados é familiar ao usuário, como "Hoje", "Amanhã", "Agenda do Dia" e "Tarefas". Entretanto, usuários podem não compreender imediatamente a diferença entre a visualização semanal e a agenda diária.</t>
  </si>
  <si>
    <t>Adicionar uma breve descrição ou tooltip explicando a função de cada seção na primeira utilização.</t>
  </si>
  <si>
    <t>O usuário consegue navegar entre semanas e selecionar qualquer dia da semana exibida. Entretanto, não existe uma forma rápida de retornar para uma data específica distante.</t>
  </si>
  <si>
    <t>Implementar um seletor de data (Date Picker) para permitir navegação direta para qualquer dia.</t>
  </si>
  <si>
    <t>Os componentes seguem o mesmo padrão visual, utilizando a mesma paleta de cores, tipografia e estilo dos botões. Não foram encontrados problemas significativos.</t>
  </si>
  <si>
    <t>Manter a padronização visual em futuras funcionalidades do sistema.</t>
  </si>
  <si>
    <t>Atualmente o sistema possui poucas ações críticas. Entretanto, futuras funcionalidades envolvendo exclusão de tarefas podem gerar erros de uso.</t>
  </si>
  <si>
    <t>Adicionar confirmações para ações destrutivas, como exclusão de tarefas ou eventos.</t>
  </si>
  <si>
    <t>As informações importantes ficam visíveis na tela, como tarefas do dia, agenda e data selecionada. O usuário não precisa memorizar informações para utilizar o sistema.</t>
  </si>
  <si>
    <t>Continuar priorizando informações visíveis e reduzir a necessidade de navegação excessiva.</t>
  </si>
  <si>
    <t>Usuários iniciantes conseguem utilizar o calendário facilmente. Porém, usuários mais experientes podem sentir falta de atalhos ou navegação mais rápida.</t>
  </si>
  <si>
    <t>Adicionar atalhos de teclado e filtros rápidos para melhorar a produtividade.</t>
  </si>
  <si>
    <t>A interface possui visual limpo, organizado e agradável, utilizando uma paleta suave e poucas distrações visuais. Não foram identificados problemas relevantes.</t>
  </si>
  <si>
    <t>Manter o design minimalista e evitar excesso de informações na tela principal.</t>
  </si>
  <si>
    <t>Não existem mensagens de erro porque a aplicação ainda não possui integração com backend. Em futuras versões, falhas de carregamento ou salvamento podem não ficar claras ao usuário.</t>
  </si>
  <si>
    <t>Implementar mensagens amigáveis de erro e feedback para operações futuras envolvendo banco de dados ou APIs.</t>
  </si>
  <si>
    <t>Não há uma seção de ajuda ou explicação das funcionalidades para novos usuários. Usuários podem precisar explorar a interface para compreender todas as funcionalidades.</t>
  </si>
  <si>
    <t>Adicionar uma tela de onboarding, tutorial inicial ou seção de ajuda explicando os recursos do calendário.</t>
  </si>
  <si>
    <t>Divino Armando Batista Soares</t>
  </si>
  <si>
    <t>Não há feedback visual claro após adicionar, editar ou excluir uma tarefa. O usuário pode ficar em dúvida se a ação foi executada com sucesso.</t>
  </si>
  <si>
    <t>Exibir mensagens de confirmação (toast/snackbar), como "Tarefa adicionada com sucesso" ou "Tarefa removida".</t>
  </si>
  <si>
    <t>O sistema utiliza os termos "Nova Tarefa" e "Nova Missão" para a mesma funcionalidade, podendo gerar confusão.</t>
  </si>
  <si>
    <t>Padronizar a nomenclatura utilizando apenas "Tarefa" ou apenas "Missão" em todo o sistema.</t>
  </si>
  <si>
    <t>Não foram identificados problemas relevantes nesta heurística.</t>
  </si>
  <si>
    <r>
      <t xml:space="preserve">Como melhoria futura, poderia ser adicionada uma opção de </t>
    </r>
    <r>
      <rPr>
        <b/>
        <sz val="12"/>
        <color rgb="FF000000"/>
        <rFont val="Calibri"/>
        <charset val="1"/>
      </rPr>
      <t>"Desfazer"</t>
    </r>
    <r>
      <rPr>
        <sz val="12"/>
        <color rgb="FF000000"/>
        <rFont val="Calibri"/>
        <charset val="1"/>
      </rPr>
      <t xml:space="preserve"> após a exclusão para aumentar ainda mais o controle do usuário.</t>
    </r>
  </si>
  <si>
    <t>Há inconsistência terminológica entre "Tarefa" e "Missão".</t>
  </si>
  <si>
    <t>Padronizar termos, ícones e nomenclaturas em todas as telas.</t>
  </si>
  <si>
    <t>O sistema ajuda a prevenir exclusões acidentais por meio de uma confirmação antes da remoção da tarefa. No entanto, não foram observadas validações visíveis para campos obrigatórios no cadastro de tarefas.</t>
  </si>
  <si>
    <t>Manter a confirmação de exclusão e implementar validações visuais para campos obrigatórios e formatos inválidos.</t>
  </si>
  <si>
    <t>Não foram identificados problemas relevantes.</t>
  </si>
  <si>
    <t>Manter o padrão atual de identificação visual e textual dos elementos da interface.</t>
  </si>
  <si>
    <t>Não foram identificados problemas relevantes</t>
  </si>
  <si>
    <t>Manter a organização atual das ações rápidas, garantindo que continuem facilmente acessíveis aos usuários.</t>
  </si>
  <si>
    <t>O design é limpo e organizado, porém alguns textos possuem contraste baixo com o fundo, dificultando a leitura.</t>
  </si>
  <si>
    <t>Melhorar o contraste dos rótulos secundários e informações menores para aumentar a acessibilidade.</t>
  </si>
  <si>
    <t>Não são apresentadas mensagens de erro ou orientações quando ocorre um problema de preenchimento ou operação inválida.</t>
  </si>
  <si>
    <t>Exibir mensagens claras explicando o erro e orientando o usuário sobre como corrigi-lo.</t>
  </si>
  <si>
    <t>Não há opção visível de ajuda, tutorial inicial ou seção de dúvidas frequentes.</t>
  </si>
  <si>
    <t>Adicionar um guia rápido de utilização, FAQ ou tour inicial para novos usuários.</t>
  </si>
  <si>
    <t>https://github.com/ICEI-PUC-Minas-PMV-SI/pmv-si-2026-1-pe3-t4-lumora/tree/main/src/aplicacao/perfil</t>
  </si>
  <si>
    <t>Nicole Mikaely Amaral Santos Silva</t>
  </si>
  <si>
    <t>Não há feedback visual claro após adicionar ou editar foto de perfil e nome de usuário. O usuário pode ficar em dúvida se a ação foi executada com sucesso.</t>
  </si>
  <si>
    <t>Exibir uma mensagem após a execução da tarefa como " nome de usuário ou foto de perfil editado(a) com sucesso".</t>
  </si>
  <si>
    <t>Não há problemas relevantes.</t>
  </si>
  <si>
    <t>-</t>
  </si>
  <si>
    <t>Não há confirmação visual clara antes de editar ou adicionar foto de perfil e nome de usuário.</t>
  </si>
  <si>
    <t xml:space="preserve">Exibir uma mensagem para confirmação da execução da ação. Exemplo: "Você deseja mesmo editar o nome de usuário de"Nicole " para"Nicole 123 "Nicole123" ?" </t>
  </si>
  <si>
    <t xml:space="preserve">Não há mensagens para problemas de erro ou operação inválida. </t>
  </si>
  <si>
    <t>Adicionar mensagens para problemas de erro ou operação inválida que oriente o usuário sobre como corrigi-lo.</t>
  </si>
  <si>
    <t>Não há nenhuma seção para ajuda ou documentação.</t>
  </si>
  <si>
    <t>Adicionar uma área visível para ajuda e explicação das funcionando com exemplos para novos usuários.</t>
  </si>
  <si>
    <t>Lumora - Landing Page de Apresentação</t>
  </si>
  <si>
    <t>https://github.com/ICEI-PUC-Minas-PMV-SI/pmv-si-2026-1-pe3-t4-lumora/tree/55bab6ae1f43c5f7058ad9a66fe8e4b4e95b5959/docs/apresentacao</t>
  </si>
  <si>
    <t>Nome do interante da Equipe:</t>
  </si>
  <si>
    <t>Felipe Fernandes Jardim</t>
  </si>
  <si>
    <t>Não foram encontrados problemas. A página comunica claramente seu propósito e conteúdo em todas as seções.</t>
  </si>
  <si>
    <t>Manter a configuração atual.</t>
  </si>
  <si>
    <t>Não foram encontrados problemas. Os textos utilizam linguagem acessível e direta ("Organize sua rotina. No seu ritmo.", "Tarefas do Dia", "Modo Foco"), compatíveis com o vocabulário do público-alvo.</t>
  </si>
  <si>
    <t>Não foram encontrados problemas. A navegação fixa com links âncora permite ao usuário ir e voltar entre seções livremente. O scroll suave contribui para a orientação espacial na página.</t>
  </si>
  <si>
    <t>O link "Ver o App" aparece duplicado na navegação, uma vez nos nav-links (visível no menu) e outra vez como botão CTA separado. Em telas menores o CTA é ocultado via CSS, mas em desktop ambos ficam visíveis simultaneamente, o que pode causar estranhamento visual por repetição.</t>
  </si>
  <si>
    <t>Manter apenas o botão CTA destacado na navbar, removendo a entrada duplicada dentro dos nav-links, ou diferenciá-los visualmente com propósitos distintos.</t>
  </si>
  <si>
    <t>Não foram encontrados problemas. A página é essencialmente informativa e de navegação, sem formulários ou campos de entrada que possam gerar erros de preenchimento.</t>
  </si>
  <si>
    <t>Não foram encontrados problemas. A navegação fixa com rótulos claros (Sobre, Funcionalidades, Screenshots, Equipe) permite que o usuário identifique visualmente onde está e para onde pode ir, sem necessidade de memorização.</t>
  </si>
  <si>
    <t>O cursor personalizado é ativado apenas para telas acima de 600px. Em dispositivos móveis a experiência é padrão, o que é adequado. Porém, não há indicador de seção ativa no menu de navegação, o que reduziria a eficiência de orientação para usuários experientes.</t>
  </si>
  <si>
    <t xml:space="preserve"> Implementar destaque visual no link de navegação correspondente à seção visível no momento, melhorando a orientação para todos os perfis de usuário.</t>
  </si>
  <si>
    <t>Não foram encontrados problemas. O layout é limpo, com hierarquia visual clara, paleta coesa e sem elementos decorativos excessivos. As seções são bem delimitadas e o conteúdo é direto ao ponto.</t>
  </si>
  <si>
    <t>Não se aplica diretamente, pois a landing page não possui interações que gerem estados de erro (sem formulários, sem login, sem buscas). A página é essencialmente informativa e não expõe o usuário a situações de erro.</t>
  </si>
  <si>
    <t>Não foram encontrados problemas. A landing page é autoexplicativa, com descrições claras de cada funcionalidade do app nas feature cards. O público-alvo consegue compreender o propósito do sistema sem necessidade de documentação adicional.</t>
  </si>
  <si>
    <t xml:space="preserve">Kamila Júlia do Espírito Santo </t>
  </si>
  <si>
    <t>O progresso do timer é exibido visualmente e o sistema informa quando o tempo termina. Entretanto, não há um alerta sonoro para chamar a atenção do usuário ao final da contagem.</t>
  </si>
  <si>
    <t>Adicionar um aviso sonoro ao término do timer. Exibir notificação mesmo com a aba minimizada.</t>
  </si>
  <si>
    <t>Manter a linguagem atual do sistema.</t>
  </si>
  <si>
    <t>Manter os controles acessíveis durante toda a execução.</t>
  </si>
  <si>
    <t>Não foram identificadas inconsistências relevantes.</t>
  </si>
  <si>
    <t>Manter a padronização visual em novas funcionalidades.</t>
  </si>
  <si>
    <t>O sistema impede alterações no tempo enquanto o timer está em execução, evitando mudanças acidentais. Porém, o botão de reiniciar não solicita confirmação.</t>
  </si>
  <si>
    <t>Adicionar confirmação antes de reiniciar uma sessão em andamento.</t>
  </si>
  <si>
    <t>Manter a organização atual da interface.</t>
  </si>
  <si>
    <t>O seletor de tempo existe, mas não comunica visualmente que é interativo, o número parece texto estático, o que pode confundir usuários na primeira vez.</t>
  </si>
  <si>
    <t>Adicionar indicador visual (ícone de edição, sublinhado ou destaque) para sinalizar que o tempo é editável.</t>
  </si>
  <si>
    <t>Manter o design simples e objetivo.</t>
  </si>
  <si>
    <t>Não há mensagens específicas orientando o usuário caso ocorra algum erro ou ação inválida.</t>
  </si>
  <si>
    <t>Exibir mensagens explicativas quando alguma ação não puder ser realizada.</t>
  </si>
  <si>
    <t>O sistema é simples de usar, mas não possui uma área de ajuda ou orientações para novos usuários.</t>
  </si>
  <si>
    <t>Adicionar uma breve explicação das funcionalidades na primeira utilização do sistema.</t>
  </si>
  <si>
    <t>Lumora - Tela login</t>
  </si>
  <si>
    <t>Quando o usuário tenta logar com o botão "Entrar com Google" o sistema não responde e não mostra nenhuma mensagem, deixando o usuário sem informação do que está acontecendo.</t>
  </si>
  <si>
    <t>Remover o botão, configurar para que o usuário possa utilizá-lo ou informar ao usuário de que a opção não está disponível no momento.</t>
  </si>
  <si>
    <t>Não foram encontrados problemas.</t>
  </si>
  <si>
    <t>Manter a configuração do sistema</t>
  </si>
  <si>
    <t>Não foram encontrados problemas, se o usuário clicar em criar uma nova conta, mas já possuir uma conta, ele tem a opção de voltar à tela de login.</t>
  </si>
  <si>
    <t>Não foram encontrados problemas, a tela de login é limpa e sugestiva às ações do usuário.</t>
  </si>
  <si>
    <t>Não foram encontrados problemas, as mensagens de erro de senha ou e-mail são claras e objetivas</t>
  </si>
  <si>
    <t>A tela de login é intuitiva e autoexplicativa, seguindo padrões de outros sistemas já existentes, portanto dispensando documentação para acessar.</t>
  </si>
  <si>
    <t>Nº</t>
  </si>
  <si>
    <t>Problema 1</t>
  </si>
  <si>
    <t>Sugestao 1</t>
  </si>
  <si>
    <t>Problema 2</t>
  </si>
  <si>
    <t>Sugestao 2</t>
  </si>
  <si>
    <t>Problema 3</t>
  </si>
  <si>
    <t>Sugestao 3</t>
  </si>
  <si>
    <t>Problema 4</t>
  </si>
  <si>
    <t>Sugestao 4</t>
  </si>
  <si>
    <t>Problema 5</t>
  </si>
  <si>
    <t>Sugestao 5</t>
  </si>
  <si>
    <t>Problema 6</t>
  </si>
  <si>
    <t>Sugestao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</si>
</sst>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2"/>
      <color rgb="FF000000"/>
      <name val="Calibri"/>
      <charset val="1"/>
    </font>
    <font>
      <b/>
      <sz val="14"/>
      <color rgb="FF000000"/>
      <name val="Arial"/>
      <family val="2"/>
      <charset val="1"/>
    </font>
    <font>
      <b/>
      <sz val="12"/>
      <color rgb="FF000000"/>
      <name val="Arial"/>
      <family val="2"/>
      <charset val="1"/>
    </font>
    <font>
      <sz val="12"/>
      <color rgb="FF000000"/>
      <name val="Arial"/>
      <family val="2"/>
      <charset val="1"/>
    </font>
    <font>
      <u/>
      <sz val="12"/>
      <color rgb="FF000000"/>
      <name val="Arial"/>
      <family val="2"/>
      <charset val="1"/>
    </font>
    <font>
      <b/>
      <sz val="14"/>
      <color rgb="FF000000"/>
      <name val="Arial"/>
      <family val="2"/>
    </font>
    <font>
      <b/>
      <sz val="12"/>
      <color rgb="FF000000"/>
      <name val="Arial"/>
      <family val="2"/>
    </font>
    <font>
      <sz val="12"/>
      <color rgb="FF000000"/>
      <name val="Arial"/>
      <family val="2"/>
    </font>
    <font>
      <u/>
      <sz val="12"/>
      <color rgb="FF000000"/>
      <name val="Arial"/>
      <family val="2"/>
    </font>
    <font>
      <sz val="12"/>
      <color rgb="FF000000"/>
      <name val="Arial"/>
    </font>
    <font>
      <b/>
      <sz val="12"/>
      <color rgb="FF000000"/>
      <name val="Calibri"/>
      <charset val="1"/>
    </font>
    <font>
      <u/>
      <sz val="12"/>
      <color theme="10"/>
      <name val="Calibri"/>
      <charset val="1"/>
    </font>
    <font>
      <sz val="12"/>
      <color rgb="FF000000"/>
      <name val="Arial"/>
      <charset val="1"/>
    </font>
  </fonts>
  <fills count="3">
    <fill>
      <patternFill patternType="none"/>
    </fill>
    <fill>
      <patternFill patternType="gray125"/>
    </fill>
    <fill>
      <patternFill patternType="solid">
        <fgColor rgb="FFE7E7CF"/>
        <bgColor rgb="FFCCFFCC"/>
      </patternFill>
    </fill>
  </fills>
  <borders count="2">
    <border>
      <left/>
      <right/>
      <top/>
      <bottom/>
      <diagonal/>
    </border>
    <border>
      <left/>
      <right/>
      <top/>
      <bottom style="thin">
        <color auto="1"/>
      </bottom>
      <diagonal/>
    </border>
  </borders>
  <cellStyleXfs count="2">
    <xf numFmtId="0" fontId="0" fillId="0" borderId="0"/>
    <xf numFmtId="0" fontId="11" fillId="0" borderId="0" applyNumberFormat="0" applyFill="0" applyBorder="0" applyAlignment="0" applyProtection="0"/>
  </cellStyleXfs>
  <cellXfs count="47">
    <xf numFmtId="0" fontId="0" fillId="0" borderId="0" xfId="0"/>
    <xf numFmtId="0" fontId="2" fillId="0" borderId="0" xfId="0" applyFont="1" applyAlignment="1">
      <alignment vertical="center" wrapText="1"/>
    </xf>
    <xf numFmtId="0" fontId="2" fillId="0" borderId="0" xfId="0" applyFont="1" applyAlignment="1">
      <alignment wrapText="1"/>
    </xf>
    <xf numFmtId="164" fontId="2" fillId="0" borderId="0" xfId="0" applyNumberFormat="1" applyFont="1" applyAlignment="1">
      <alignment vertical="center" wrapText="1"/>
    </xf>
    <xf numFmtId="164" fontId="2" fillId="2" borderId="0" xfId="0" applyNumberFormat="1" applyFont="1" applyFill="1" applyAlignment="1">
      <alignment vertical="center" wrapText="1"/>
    </xf>
    <xf numFmtId="0" fontId="2" fillId="2" borderId="0" xfId="0" applyFont="1" applyFill="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applyAlignment="1">
      <alignment vertical="center" wrapText="1"/>
    </xf>
    <xf numFmtId="0" fontId="6" fillId="0" borderId="0" xfId="0" applyFont="1" applyAlignment="1">
      <alignment wrapText="1"/>
    </xf>
    <xf numFmtId="164" fontId="6" fillId="0" borderId="0" xfId="0" applyNumberFormat="1" applyFont="1" applyAlignment="1">
      <alignment vertical="center" wrapText="1"/>
    </xf>
    <xf numFmtId="0" fontId="6" fillId="0" borderId="0" xfId="0" applyFont="1" applyAlignment="1">
      <alignment vertical="center" wrapText="1"/>
    </xf>
    <xf numFmtId="164" fontId="6" fillId="2" borderId="0" xfId="0" applyNumberFormat="1" applyFont="1" applyFill="1" applyAlignment="1">
      <alignment vertical="center" wrapText="1"/>
    </xf>
    <xf numFmtId="0" fontId="6" fillId="2" borderId="0" xfId="0" applyFont="1" applyFill="1" applyAlignment="1">
      <alignment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wrapText="1"/>
    </xf>
    <xf numFmtId="0" fontId="7"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0" borderId="0" xfId="0" applyFont="1" applyAlignment="1">
      <alignment vertical="center"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wrapText="1"/>
    </xf>
    <xf numFmtId="0" fontId="0" fillId="0" borderId="0" xfId="0" applyAlignment="1">
      <alignment horizontal="left" wrapText="1"/>
    </xf>
    <xf numFmtId="0" fontId="7" fillId="0" borderId="0" xfId="0" applyFont="1" applyAlignment="1">
      <alignment horizontal="left" vertical="center" wrapText="1"/>
    </xf>
    <xf numFmtId="0" fontId="12" fillId="0" borderId="0" xfId="0" applyFont="1" applyAlignment="1">
      <alignment vertical="center"/>
    </xf>
    <xf numFmtId="0" fontId="7" fillId="0" borderId="0" xfId="0" applyFont="1" applyAlignment="1">
      <alignment horizontal="left" wrapText="1"/>
    </xf>
    <xf numFmtId="0" fontId="12" fillId="0" borderId="0" xfId="0" applyFont="1" applyAlignment="1">
      <alignment vertical="center" wrapText="1"/>
    </xf>
    <xf numFmtId="0" fontId="7" fillId="0" borderId="0" xfId="0" applyFont="1" applyAlignment="1">
      <alignment horizontal="left"/>
    </xf>
    <xf numFmtId="0" fontId="3" fillId="0" borderId="0" xfId="0" applyFont="1" applyAlignment="1">
      <alignment horizontal="left" vertical="center" wrapText="1"/>
    </xf>
    <xf numFmtId="0" fontId="3" fillId="0" borderId="1" xfId="0" applyFont="1" applyBorder="1" applyAlignment="1">
      <alignment horizontal="left" vertical="center" wrapText="1"/>
    </xf>
    <xf numFmtId="164" fontId="1" fillId="2" borderId="0" xfId="0" applyNumberFormat="1" applyFont="1" applyFill="1" applyAlignment="1">
      <alignment horizontal="center" vertical="center" wrapText="1"/>
    </xf>
    <xf numFmtId="0" fontId="9" fillId="0" borderId="0" xfId="0" applyFont="1" applyAlignment="1">
      <alignment horizontal="left" vertical="center" wrapText="1"/>
    </xf>
    <xf numFmtId="0" fontId="2" fillId="0" borderId="0" xfId="0" applyFont="1" applyAlignment="1">
      <alignment horizontal="left" vertical="center" wrapText="1"/>
    </xf>
    <xf numFmtId="0" fontId="11" fillId="0" borderId="0" xfId="1" applyAlignment="1">
      <alignment horizontal="left" vertical="center" wrapText="1"/>
    </xf>
    <xf numFmtId="0" fontId="2" fillId="0" borderId="0" xfId="0" applyFont="1" applyAlignment="1">
      <alignment vertical="center" wrapText="1"/>
    </xf>
    <xf numFmtId="0" fontId="9" fillId="0" borderId="0" xfId="0" applyFont="1" applyAlignment="1">
      <alignment vertical="center" wrapText="1"/>
    </xf>
    <xf numFmtId="164" fontId="5" fillId="2" borderId="0" xfId="0" applyNumberFormat="1" applyFont="1" applyFill="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7" fillId="0" borderId="0" xfId="0" applyFont="1" applyAlignment="1">
      <alignment horizontal="left" vertical="center" wrapText="1"/>
    </xf>
  </cellXfs>
  <cellStyles count="2">
    <cellStyle name="Hyperlink" xfId="1" xr:uid="{00000000-000B-0000-0000-000008000000}"/>
    <cellStyle name="Normal" xfId="0" builtinId="0"/>
  </cellStyles>
  <dxfs count="36">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7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34A059-C973-475B-971A-537D8ED1E4DB}" name="Tabela1" displayName="Tabela1" ref="A13:B23" totalsRowShown="0" headerRowDxfId="35" dataDxfId="34">
  <autoFilter ref="A13:B23" xr:uid="{0634A059-C973-475B-971A-537D8ED1E4DB}"/>
  <tableColumns count="2">
    <tableColumn id="1" xr3:uid="{9CBD5C87-92B3-4F2E-AFF1-531D318E5C44}" name="Nº" dataDxfId="33"/>
    <tableColumn id="2" xr3:uid="{BFD870FD-5CE9-410D-B9F1-1FB9C74D3A40}" name="Problema 4" dataDxfId="32">
      <calculatedColumnFormula>IF('Parecer 4 - Kamila'!D6="","não se aplica",'Parecer 4 - Kamila'!D6)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E59FCE-86F4-4A99-AAC3-C34C0E614A66}" name="Tabela6" displayName="Tabela6" ref="A1:B11" totalsRowShown="0" headerRowDxfId="31" dataDxfId="30">
  <autoFilter ref="A1:B11" xr:uid="{C5E59FCE-86F4-4A99-AAC3-C34C0E614A66}"/>
  <tableColumns count="2">
    <tableColumn id="1" xr3:uid="{F3D67C96-B404-448A-8971-E2BAE3C94777}" name="Nº" dataDxfId="29"/>
    <tableColumn id="2" xr3:uid="{8EB26C30-5FC0-4010-8F94-FE7C95048B42}" name="Problema 1" dataDxfId="28">
      <calculatedColumnFormula>IF('Parecer 1 - Caroline'!#REF!="","não se aplica",'Parecer 1 - Caroline'!#REF!)</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2BC830-587C-4959-AE95-A0F14D1FD965}" name="Tabela7" displayName="Tabela7" ref="D1:E11" totalsRowShown="0" headerRowDxfId="27">
  <autoFilter ref="D1:E11" xr:uid="{A42BC830-587C-4959-AE95-A0F14D1FD965}"/>
  <tableColumns count="2">
    <tableColumn id="1" xr3:uid="{51D71744-7043-425B-8524-31B08AE35322}" name="Nº" dataDxfId="26"/>
    <tableColumn id="2" xr3:uid="{7B821C4D-7BC0-4890-8120-CD41FE01B5E7}" name="Sugestao 1">
      <calculatedColumnFormula>IF('Parecer 1 - Caroline'!D6="","não se aplica",'Parecer 1 - Caroline'!D6)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1D0EEAF-BEC4-4AA2-9101-05FA01E9011E}" name="Tabela8" displayName="Tabela8" ref="G1:H11" totalsRowShown="0" headerRowDxfId="25" dataDxfId="24">
  <autoFilter ref="G1:H11" xr:uid="{31D0EEAF-BEC4-4AA2-9101-05FA01E9011E}"/>
  <tableColumns count="2">
    <tableColumn id="1" xr3:uid="{C9B0A152-CFC4-4BD4-87FC-BE316F85F420}" name="Nº" dataDxfId="23"/>
    <tableColumn id="2" xr3:uid="{BDC7AEAE-C570-4FE6-A651-F51B9C181EDC}" name="Problema 2" dataDxfId="22">
      <calculatedColumnFormula>IF('Parecer 2 - Divino'!D6="","não se aplica",'Parecer 2 - Divino'!D6)</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14011F-E016-460E-B65A-774A5BD52A5B}" name="Tabela9" displayName="Tabela9" ref="J1:K11" totalsRowShown="0" headerRowDxfId="21">
  <autoFilter ref="J1:K11" xr:uid="{4814011F-E016-460E-B65A-774A5BD52A5B}"/>
  <tableColumns count="2">
    <tableColumn id="1" xr3:uid="{00B162AE-0859-40A7-A40B-5CCCDB599EB4}" name="Nº" dataDxfId="20"/>
    <tableColumn id="2" xr3:uid="{C24EFD75-AED0-4BAB-9E75-3D19CD1A64CD}" name="Sugestao 2">
      <calculatedColumnFormula>IF('Parecer 2 - Divino'!E6="","não se aplica",'Parecer 2 - Divino'!E6)</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B1CBCF-D956-46B6-985D-C69227225354}" name="Tabela10" displayName="Tabela10" ref="M1:N11" totalsRowShown="0" headerRowDxfId="19" dataDxfId="18">
  <autoFilter ref="M1:N11" xr:uid="{95B1CBCF-D956-46B6-985D-C69227225354}"/>
  <tableColumns count="2">
    <tableColumn id="1" xr3:uid="{B7A452BB-6AF2-4EB1-AD6E-1AA7C457FD14}" name="Nº" dataDxfId="17"/>
    <tableColumn id="2" xr3:uid="{8563615B-48AE-42F6-8011-CFBCE257414E}" name="Problema 3" dataDxfId="16">
      <calculatedColumnFormula>IF('Parecer 3 - Felipe'!D6="","não se aplica",'Parecer 3 - Felipe'!D6)</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7C895F3-E8DF-4515-9BA0-DD61D18FF915}" name="Tabela11" displayName="Tabela11" ref="P1:Q11" totalsRowShown="0" headerRowDxfId="15">
  <autoFilter ref="P1:Q11" xr:uid="{37C895F3-E8DF-4515-9BA0-DD61D18FF915}"/>
  <tableColumns count="2">
    <tableColumn id="1" xr3:uid="{978AE3B9-B83C-428C-81CF-65F6572E6F72}" name="Nº" dataDxfId="14"/>
    <tableColumn id="2" xr3:uid="{EF6F4C92-E0D5-4526-985E-F8C8B1BAD560}" name="Sugestao 3">
      <calculatedColumnFormula>IF('Parecer 3 - Felipe'!E6="","não se aplica",'Parecer 3 - Felipe'!E6)</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B10381F-497B-4D15-B7F1-2A91910FF396}" name="Tabela12" displayName="Tabela12" ref="D13:E23" totalsRowShown="0" headerRowDxfId="13">
  <autoFilter ref="D13:E23" xr:uid="{FB10381F-497B-4D15-B7F1-2A91910FF396}"/>
  <tableColumns count="2">
    <tableColumn id="1" xr3:uid="{FDE488D2-DD3B-41C6-A2EF-C15AE5F3516F}" name="Nº" dataDxfId="12"/>
    <tableColumn id="2" xr3:uid="{28E538D0-7F97-4BD6-8809-17D58B57DB62}" name="Sugestao 4">
      <calculatedColumnFormula>IF('Parecer 4 - Kamila'!E6="","não se aplica",'Parecer 4 - Kamila'!E6)</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17D1FFF-AEA3-4BFB-A881-9809AE686392}" name="Tabela13" displayName="Tabela13" ref="G13:H23" totalsRowShown="0" headerRowDxfId="11" dataDxfId="10">
  <autoFilter ref="G13:H23" xr:uid="{117D1FFF-AEA3-4BFB-A881-9809AE686392}"/>
  <tableColumns count="2">
    <tableColumn id="1" xr3:uid="{DBF43DAF-BE92-4BBF-B3DD-A039BABA7117}" name="Nº" dataDxfId="9"/>
    <tableColumn id="2" xr3:uid="{D9A67036-EA24-4343-A85E-0F67CB2C065D}" name="Problema 5" dataDxfId="8">
      <calculatedColumnFormula>IF('Parecer 5 - Luiza'!D6="","não se aplica",'Parecer 5 - Luiza'!D6)</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05268E-AA92-49A0-803B-8302D7CC8AC1}" name="Tabela14" displayName="Tabela14" ref="J13:K23" totalsRowShown="0" headerRowDxfId="7">
  <autoFilter ref="J13:K23" xr:uid="{8D05268E-AA92-49A0-803B-8302D7CC8AC1}"/>
  <tableColumns count="2">
    <tableColumn id="1" xr3:uid="{6B92D9BA-A1EA-4B87-95E1-62E53E4E3644}" name="Nº" dataDxfId="6"/>
    <tableColumn id="2" xr3:uid="{A181E4AD-8C7F-4F64-B2BF-AAFDE4842D7B}" name="Sugestao 5">
      <calculatedColumnFormula>IF('Parecer 5 - Luiza'!E6="","não se aplica",'Parecer 5 - Luiza'!E6)</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D700962-8A1A-41FE-B046-1100DC365B49}" name="Tabela15" displayName="Tabela15" ref="M13:N23" totalsRowShown="0" headerRowDxfId="5" dataDxfId="4">
  <autoFilter ref="M13:N23" xr:uid="{0D700962-8A1A-41FE-B046-1100DC365B49}"/>
  <tableColumns count="2">
    <tableColumn id="1" xr3:uid="{3E12DC3E-4B58-4637-9C48-60B5DD3CFC48}" name="Nº" dataDxfId="3"/>
    <tableColumn id="2" xr3:uid="{4DDEECE2-196F-44EC-AA55-6A5EDEDD8EDF}" name="Problema 6" dataDxfId="2">
      <calculatedColumnFormula>IF('Parecer 6 - Nicole'!D6="","não se aplica",'Parecer 6 - Nicole'!D6)</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EEC361-536F-44C8-BE20-F692849A74B9}" name="Tabela16" displayName="Tabela16" ref="P13:Q23" totalsRowShown="0" headerRowDxfId="1">
  <autoFilter ref="P13:Q23" xr:uid="{AEEEC361-536F-44C8-BE20-F692849A74B9}"/>
  <tableColumns count="2">
    <tableColumn id="1" xr3:uid="{592771E6-85FD-4585-9C38-3694CAEF5FDA}" name="Nº" dataDxfId="0"/>
    <tableColumn id="2" xr3:uid="{46C77F44-4170-4ABE-90C5-15BD62103003}" name="Sugestao 6">
      <calculatedColumnFormula>IF('Parecer 6 - Nicole'!E6="","não se aplica",'Parecer 6 - Nicole'!E6)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ICEI-PUC-Minas-PMV-SI/pmv-si-2026-1-pe3-t4-lumora/tree/main/src/aplicacao" TargetMode="External"/><Relationship Id="rId1" Type="http://schemas.openxmlformats.org/officeDocument/2006/relationships/hyperlink" Target="https://www.nngroup.com/articles/ten-usability-heuristic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github.com/ICEI-PUC-Minas-PMV-SI/pmv-si-2026-1-pe3-t4-lumora/tree/55bab6ae1f43c5f7058ad9a66fe8e4b4e95b5959/docs/apresentacao" TargetMode="External"/><Relationship Id="rId1" Type="http://schemas.openxmlformats.org/officeDocument/2006/relationships/hyperlink" Target="https://www.nngroup.com/articles/ten-usability-heuristic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github.com/ICEI-PUC-Minas-PMV-SI/pmv-si-2026-1-pe3-t4-lumora/tree/main/src/aplicacao/perfil" TargetMode="External"/><Relationship Id="rId1" Type="http://schemas.openxmlformats.org/officeDocument/2006/relationships/hyperlink" Target="https://www.nngroup.com/articles/ten-usability-heuristics/"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github.com/ICEI-PUC-Minas-PMV-SI/pmv-si-2026-1-pe3-t4-lumora/tree/55bab6ae1f43c5f7058ad9a66fe8e4b4e95b5959/docs/apresentacao" TargetMode="External"/><Relationship Id="rId1" Type="http://schemas.openxmlformats.org/officeDocument/2006/relationships/hyperlink" Target="https://www.nngroup.com/articles/ten-usability-heuristic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_rels/sheet8.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55" zoomScaleNormal="55" workbookViewId="0">
      <selection activeCell="D6" sqref="D6"/>
    </sheetView>
  </sheetViews>
  <sheetFormatPr defaultColWidth="11.25" defaultRowHeight="15.6"/>
  <cols>
    <col min="1" max="1" width="26.5" customWidth="1"/>
    <col min="2" max="2" width="40.875" customWidth="1"/>
    <col min="3" max="3" width="69" customWidth="1"/>
    <col min="4" max="4" width="55.375" customWidth="1"/>
    <col min="5" max="5" width="44.125" customWidth="1"/>
    <col min="6" max="6" width="11" customWidth="1"/>
    <col min="7" max="26" width="8.5" customWidth="1"/>
  </cols>
  <sheetData>
    <row r="1" spans="1:26" ht="56.25" customHeight="1">
      <c r="A1" s="37" t="s">
        <v>0</v>
      </c>
      <c r="B1" s="37"/>
      <c r="C1" s="37"/>
      <c r="D1" s="37"/>
      <c r="E1" s="37"/>
      <c r="F1" s="2"/>
      <c r="G1" s="2"/>
      <c r="H1" s="2"/>
      <c r="I1" s="2"/>
      <c r="J1" s="2"/>
      <c r="K1" s="2"/>
      <c r="L1" s="2"/>
      <c r="M1" s="2"/>
      <c r="N1" s="2"/>
      <c r="O1" s="2"/>
      <c r="P1" s="2"/>
      <c r="Q1" s="2"/>
      <c r="R1" s="2"/>
      <c r="S1" s="2"/>
      <c r="T1" s="2"/>
      <c r="U1" s="2"/>
      <c r="V1" s="2"/>
      <c r="W1" s="2"/>
      <c r="X1" s="2"/>
      <c r="Y1" s="2"/>
      <c r="Z1" s="2"/>
    </row>
    <row r="2" spans="1:26" ht="27.75" customHeight="1">
      <c r="A2" s="3" t="s">
        <v>1</v>
      </c>
      <c r="B2" s="38" t="s">
        <v>2</v>
      </c>
      <c r="C2" s="39"/>
      <c r="D2" s="39"/>
      <c r="E2" s="39"/>
      <c r="F2" s="2"/>
      <c r="G2" s="2"/>
      <c r="H2" s="2"/>
      <c r="I2" s="2"/>
      <c r="J2" s="2"/>
      <c r="K2" s="2"/>
      <c r="L2" s="2"/>
      <c r="M2" s="2"/>
      <c r="N2" s="2"/>
      <c r="O2" s="2"/>
      <c r="P2" s="2"/>
      <c r="Q2" s="2"/>
      <c r="R2" s="2"/>
      <c r="S2" s="2"/>
      <c r="T2" s="2"/>
      <c r="U2" s="2"/>
      <c r="V2" s="2"/>
      <c r="W2" s="2"/>
      <c r="X2" s="2"/>
      <c r="Y2" s="2"/>
      <c r="Z2" s="2"/>
    </row>
    <row r="3" spans="1:26" ht="27.75" customHeight="1">
      <c r="A3" s="3" t="s">
        <v>3</v>
      </c>
      <c r="B3" s="40" t="s">
        <v>4</v>
      </c>
      <c r="C3" s="40"/>
      <c r="D3" s="40"/>
      <c r="E3" s="40"/>
      <c r="F3" s="2"/>
      <c r="G3" s="2"/>
      <c r="H3" s="2"/>
      <c r="I3" s="2"/>
      <c r="J3" s="2"/>
      <c r="K3" s="2"/>
      <c r="L3" s="2"/>
      <c r="M3" s="2"/>
      <c r="N3" s="2"/>
      <c r="O3" s="2"/>
      <c r="P3" s="2"/>
      <c r="Q3" s="2"/>
      <c r="R3" s="2"/>
      <c r="S3" s="2"/>
      <c r="T3" s="2"/>
      <c r="U3" s="2"/>
      <c r="V3" s="2"/>
      <c r="W3" s="2"/>
      <c r="X3" s="2"/>
      <c r="Y3" s="2"/>
      <c r="Z3" s="2"/>
    </row>
    <row r="4" spans="1:26" ht="27.75" customHeight="1">
      <c r="A4" s="3" t="s">
        <v>5</v>
      </c>
      <c r="B4" s="42" t="s">
        <v>6</v>
      </c>
      <c r="C4" s="41"/>
      <c r="D4" s="41"/>
      <c r="E4" s="41"/>
      <c r="F4" s="2"/>
      <c r="G4" s="2"/>
      <c r="H4" s="2"/>
      <c r="I4" s="2"/>
      <c r="J4" s="2"/>
      <c r="K4" s="2"/>
      <c r="L4" s="2"/>
      <c r="M4" s="2"/>
      <c r="N4" s="2"/>
      <c r="O4" s="2"/>
      <c r="P4" s="2"/>
      <c r="Q4" s="2"/>
      <c r="R4" s="2"/>
      <c r="S4" s="2"/>
      <c r="T4" s="2"/>
      <c r="U4" s="2"/>
      <c r="V4" s="2"/>
      <c r="W4" s="2"/>
      <c r="X4" s="2"/>
      <c r="Y4" s="2"/>
      <c r="Z4" s="2"/>
    </row>
    <row r="5" spans="1:26" ht="15.75">
      <c r="A5" s="4" t="s">
        <v>7</v>
      </c>
      <c r="B5" s="5" t="s">
        <v>8</v>
      </c>
      <c r="C5" s="5" t="s">
        <v>9</v>
      </c>
      <c r="D5" s="5" t="s">
        <v>10</v>
      </c>
      <c r="E5" s="5" t="s">
        <v>11</v>
      </c>
      <c r="F5" s="2"/>
      <c r="G5" s="2"/>
      <c r="H5" s="2"/>
      <c r="I5" s="2"/>
      <c r="J5" s="2"/>
      <c r="K5" s="2"/>
      <c r="L5" s="2"/>
      <c r="M5" s="2"/>
      <c r="N5" s="2"/>
      <c r="O5" s="2"/>
      <c r="P5" s="2"/>
      <c r="Q5" s="2"/>
      <c r="R5" s="2"/>
      <c r="S5" s="2"/>
      <c r="T5" s="2"/>
      <c r="U5" s="2"/>
      <c r="V5" s="2"/>
      <c r="W5" s="2"/>
      <c r="X5" s="2"/>
      <c r="Y5" s="2"/>
      <c r="Z5" s="2"/>
    </row>
    <row r="6" spans="1:26" ht="290.25" customHeight="1">
      <c r="A6" s="6">
        <v>1</v>
      </c>
      <c r="B6" s="1" t="s">
        <v>12</v>
      </c>
      <c r="C6" s="7" t="s">
        <v>13</v>
      </c>
      <c r="D6" s="7" t="str">
        <f>Consolidação!A27</f>
        <v>1. O sistema apresenta o dia selecionado, tarefas e agenda de forma clara. Porém, ao marcar uma tarefa como concluída, não existe uma confirmação visual muito evidente além do texto riscado.
2. Não há feedback visual claro após adicionar, editar ou excluir uma tarefa. O usuário pode ficar em dúvida se a ação foi executada com sucesso.
3. Não foram encontrados problemas. A página comunica claramente seu propósito e conteúdo em todas as seções.
4. O progresso do timer é exibido visualmente e o sistema informa quando o tempo termina. Entretanto, não há um alerta sonoro para chamar a atenção do usuário ao final da contagem.
5. Quando o usuário tenta logar com o botão "Entrar com Google" o sistema não responde e não mostra nenhuma mensagem, deixando o usuário sem informação do que está acontecendo.
6. Não há feedback visual claro após adicionar ou editar foto de perfil e nome de usuário. O usuário pode ficar em dúvida se a ação foi executada com sucesso.</v>
      </c>
      <c r="E6" s="7" t="str">
        <f>Consolidação!B27</f>
        <v>1. O sistema apresenta o dia selecionado, tarefas e agenda de forma clara. Porém, ao marcar uma tarefa como concluída, não existe uma confirmação visual muito evidente além do texto riscado.
2. Exibir mensagens de confirmação (toast/snackbar), como "Tarefa adicionada com sucesso" ou "Tarefa removida".
3. Manter a configuração atual.
4. Adicionar um aviso sonoro ao término do timer. Exibir notificação mesmo com a aba minimizada.
5. Remover o botão, configurar para que o usuário possa utilizá-lo ou informar ao usuário de que a opção não está disponível no momento.
6. Exibir uma mensagem após a execução da tarefa como " nome de usuário ou foto de perfil editado(a) com sucesso".</v>
      </c>
      <c r="F6" s="8"/>
      <c r="G6" s="8"/>
      <c r="H6" s="8"/>
      <c r="I6" s="8"/>
      <c r="J6" s="8"/>
      <c r="K6" s="8"/>
      <c r="L6" s="8"/>
      <c r="M6" s="8"/>
      <c r="N6" s="8"/>
      <c r="O6" s="8"/>
      <c r="P6" s="8"/>
      <c r="Q6" s="8"/>
      <c r="R6" s="8"/>
      <c r="S6" s="8"/>
      <c r="T6" s="8"/>
      <c r="U6" s="8"/>
      <c r="V6" s="8"/>
      <c r="W6" s="8"/>
      <c r="X6" s="8"/>
      <c r="Y6" s="8"/>
      <c r="Z6" s="8"/>
    </row>
    <row r="7" spans="1:26" ht="164.25" customHeight="1">
      <c r="A7" s="6">
        <v>2</v>
      </c>
      <c r="B7" s="1" t="s">
        <v>14</v>
      </c>
      <c r="C7" s="7" t="s">
        <v>15</v>
      </c>
      <c r="D7" s="7" t="str">
        <f>Consolidação!A28</f>
        <v>1. A maior parte dos termos utilizados é familiar ao usuário, como "Hoje", "Amanhã", "Agenda do Dia" e "Tarefas". Entretanto, usuários podem não compreender imediatamente a diferença entre a visualização semanal e a agenda diária.
2. O sistema utiliza os termos "Nova Tarefa" e "Nova Missão" para a mesma funcionalidade, podendo gerar confusão.
3. Não foram encontrados problemas. Os textos utilizam linguagem acessível e direta ("Organize sua rotina. No seu ritmo.", "Tarefas do Dia", "Modo Foco"), compatíveis com o vocabulário do público-alvo.
4. Não foram identificados problemas relevantes.
5. Não foram encontrados problemas.
6. Não há problemas relevantes.</v>
      </c>
      <c r="E7" s="7" t="str">
        <f>Consolidação!B28</f>
        <v>1. O usuário consegue navegar entre semanas e selecionar qualquer dia da semana exibida. Entretanto, não existe uma forma rápida de retornar para uma data específica distante.
2. Não foram identificados problemas relevantes nesta heurística.
3. Não foram encontrados problemas. A navegação fixa com links âncora permite ao usuário ir e voltar entre seções livremente. O scroll suave contribui para a orientação espacial na página.
4. Não foram identificados problemas relevantes.
5. Não foram encontrados problemas, se o usuário clicar em criar uma nova conta, mas já possuir uma conta, ele tem a opção de voltar à tela de login.
6. Não há problemas relevantes.</v>
      </c>
      <c r="F7" s="8"/>
      <c r="G7" s="8"/>
      <c r="H7" s="8"/>
      <c r="I7" s="8"/>
      <c r="J7" s="8"/>
      <c r="K7" s="8"/>
      <c r="L7" s="8"/>
      <c r="M7" s="8"/>
      <c r="N7" s="8"/>
      <c r="O7" s="8"/>
      <c r="P7" s="8"/>
      <c r="Q7" s="8"/>
      <c r="R7" s="8"/>
      <c r="S7" s="8"/>
      <c r="T7" s="8"/>
      <c r="U7" s="8"/>
      <c r="V7" s="8"/>
      <c r="W7" s="8"/>
      <c r="X7" s="8"/>
      <c r="Y7" s="8"/>
      <c r="Z7" s="8"/>
    </row>
    <row r="8" spans="1:26" ht="167.25" customHeight="1">
      <c r="A8" s="6">
        <v>3</v>
      </c>
      <c r="B8" s="1" t="s">
        <v>16</v>
      </c>
      <c r="C8" s="7" t="s">
        <v>17</v>
      </c>
      <c r="D8" s="7" t="str">
        <f>Consolidação!A29</f>
        <v>1. O usuário consegue navegar entre semanas e selecionar qualquer dia da semana exibida. Entretanto, não existe uma forma rápida de retornar para uma data específica distante.
2. Não foram identificados problemas relevantes nesta heurística.
3. Não foram encontrados problemas. A navegação fixa com links âncora permite ao usuário ir e voltar entre seções livremente. O scroll suave contribui para a orientação espacial na página.
4. Não foram identificados problemas relevantes.
5. Não foram encontrados problemas, se o usuário clicar em criar uma nova conta, mas já possuir uma conta, ele tem a opção de voltar à tela de login.
6. Não há problemas relevantes.</v>
      </c>
      <c r="E8" s="7" t="str">
        <f>Consolidação!B29</f>
        <v>1. Implementar um seletor de data (Date Picker) para permitir navegação direta para qualquer dia.
2. Como melhoria futura, poderia ser adicionada uma opção de "Desfazer" após a exclusão para aumentar ainda mais o controle do usuário.
3. Manter a configuração atual.
4. Manter os controles acessíveis durante toda a execução.
5. Manter a configuração do sistema
6. -</v>
      </c>
      <c r="F8" s="8"/>
      <c r="G8" s="8"/>
      <c r="H8" s="8"/>
      <c r="I8" s="8"/>
      <c r="J8" s="8"/>
      <c r="K8" s="8"/>
      <c r="L8" s="8"/>
      <c r="M8" s="8"/>
      <c r="N8" s="8"/>
      <c r="O8" s="8"/>
      <c r="P8" s="8"/>
      <c r="Q8" s="8"/>
      <c r="R8" s="8"/>
      <c r="S8" s="8"/>
      <c r="T8" s="8"/>
      <c r="U8" s="8"/>
      <c r="V8" s="8"/>
      <c r="W8" s="8"/>
      <c r="X8" s="8"/>
      <c r="Y8" s="8"/>
      <c r="Z8" s="8"/>
    </row>
    <row r="9" spans="1:26" ht="107.25">
      <c r="A9" s="6">
        <v>4</v>
      </c>
      <c r="B9" s="1" t="s">
        <v>18</v>
      </c>
      <c r="C9" s="7" t="s">
        <v>19</v>
      </c>
      <c r="D9" s="7" t="str">
        <f>Consolidação!A30</f>
        <v>1. Os componentes seguem o mesmo padrão visual, utilizando a mesma paleta de cores, tipografia e estilo dos botões. Não foram encontrados problemas significativos.
2. Há inconsistência terminológica entre "Tarefa" e "Missão".
3. O link "Ver o App" aparece duplicado na navegação, uma vez nos nav-links (visível no menu) e outra vez como botão CTA separado. Em telas menores o CTA é ocultado via CSS, mas em desktop ambos ficam visíveis simultaneamente, o que pode causar estranhamento visual por repetição.
4. Não foram identificadas inconsistências relevantes.
5. Não foram encontrados problemas.
6. Não há problemas relevantes.</v>
      </c>
      <c r="E9" s="7" t="str">
        <f>Consolidação!B30</f>
        <v>1. Manter a padronização visual em futuras funcionalidades do sistema.
2. Padronizar termos, ícones e nomenclaturas em todas as telas.
3. Manter apenas o botão CTA destacado na navbar, removendo a entrada duplicada dentro dos nav-links, ou diferenciá-los visualmente com propósitos distintos.
4. Manter a padronização visual em novas funcionalidades.
5. Manter a configuração do sistema
6. -</v>
      </c>
      <c r="F9" s="8"/>
      <c r="G9" s="8"/>
      <c r="H9" s="8"/>
      <c r="I9" s="8"/>
      <c r="J9" s="8"/>
      <c r="K9" s="8"/>
      <c r="L9" s="8"/>
      <c r="M9" s="8"/>
      <c r="N9" s="8"/>
      <c r="O9" s="8"/>
      <c r="P9" s="8"/>
      <c r="Q9" s="8"/>
      <c r="R9" s="8"/>
      <c r="S9" s="8"/>
      <c r="T9" s="8"/>
      <c r="U9" s="8"/>
      <c r="V9" s="8"/>
      <c r="W9" s="8"/>
      <c r="X9" s="8"/>
      <c r="Y9" s="8"/>
      <c r="Z9" s="8"/>
    </row>
    <row r="10" spans="1:26" ht="204.75" customHeight="1">
      <c r="A10" s="6">
        <v>5</v>
      </c>
      <c r="B10" s="1" t="s">
        <v>20</v>
      </c>
      <c r="C10" s="7" t="s">
        <v>21</v>
      </c>
      <c r="D10" s="7" t="str">
        <f>Consolidação!A31</f>
        <v>1. Atualmente o sistema possui poucas ações críticas. Entretanto, futuras funcionalidades envolvendo exclusão de tarefas podem gerar erros de uso.
2. O sistema ajuda a prevenir exclusões acidentais por meio de uma confirmação antes da remoção da tarefa. No entanto, não foram observadas validações visíveis para campos obrigatórios no cadastro de tarefas.
3. Não foram encontrados problemas. A página é essencialmente informativa e de navegação, sem formulários ou campos de entrada que possam gerar erros de preenchimento.
4. O sistema impede alterações no tempo enquanto o timer está em execução, evitando mudanças acidentais. Porém, o botão de reiniciar não solicita confirmação.
5. Não foram encontrados problemas.
6. Não há confirmação visual clara antes de editar ou adicionar foto de perfil e nome de usuário.</v>
      </c>
      <c r="E10" s="7" t="str">
        <f>Consolidação!B31</f>
        <v xml:space="preserve">1. Adicionar confirmações para ações destrutivas, como exclusão de tarefas ou eventos.
2. Manter a confirmação de exclusão e implementar validações visuais para campos obrigatórios e formatos inválidos.
3. Manter a configuração atual.
4. Adicionar confirmação antes de reiniciar uma sessão em andamento.
5. Manter a configuração do sistema
6. Exibir uma mensagem para confirmação da execução da ação. Exemplo: "Você deseja mesmo editar o nome de usuário de"Nicole " para"Nicole 123 "Nicole123" ?" </v>
      </c>
      <c r="F10" s="8"/>
      <c r="G10" s="8"/>
      <c r="H10" s="8"/>
      <c r="I10" s="8"/>
      <c r="J10" s="8"/>
      <c r="K10" s="8"/>
      <c r="L10" s="8"/>
      <c r="M10" s="8"/>
      <c r="N10" s="8"/>
      <c r="O10" s="8"/>
      <c r="P10" s="8"/>
      <c r="Q10" s="8"/>
      <c r="R10" s="8"/>
      <c r="S10" s="8"/>
      <c r="T10" s="8"/>
      <c r="U10" s="8"/>
      <c r="V10" s="8"/>
      <c r="W10" s="8"/>
      <c r="X10" s="8"/>
      <c r="Y10" s="8"/>
      <c r="Z10" s="8"/>
    </row>
    <row r="11" spans="1:26" ht="107.25">
      <c r="A11" s="6">
        <v>6</v>
      </c>
      <c r="B11" s="1" t="s">
        <v>22</v>
      </c>
      <c r="C11" s="7" t="s">
        <v>23</v>
      </c>
      <c r="D11" s="7" t="str">
        <f>Consolidação!A32</f>
        <v>1. As informações importantes ficam visíveis na tela, como tarefas do dia, agenda e data selecionada. O usuário não precisa memorizar informações para utilizar o sistema.
2. Não foram identificados problemas relevantes.
3. Não foram encontrados problemas. A navegação fixa com rótulos claros (Sobre, Funcionalidades, Screenshots, Equipe) permite que o usuário identifique visualmente onde está e para onde pode ir, sem necessidade de memorização.
4. Não foram identificados problemas relevantes.
5. Não foram encontrados problemas, a tela de login é limpa e sugestiva às ações do usuário.
6. Não há problemas relevantes.</v>
      </c>
      <c r="E11" s="7" t="str">
        <f>Consolidação!B32</f>
        <v>1. Continuar priorizando informações visíveis e reduzir a necessidade de navegação excessiva.
2. Manter o padrão atual de identificação visual e textual dos elementos da interface.
3. Manter a configuração atual.
4. Manter a organização atual da interface.
5. Manter a configuração do sistema
6. -</v>
      </c>
      <c r="F11" s="8"/>
      <c r="G11" s="8"/>
      <c r="H11" s="8"/>
      <c r="I11" s="8"/>
      <c r="J11" s="8"/>
      <c r="K11" s="8"/>
      <c r="L11" s="8"/>
      <c r="M11" s="8"/>
      <c r="N11" s="8"/>
      <c r="O11" s="8"/>
      <c r="P11" s="8"/>
      <c r="Q11" s="8"/>
      <c r="R11" s="8"/>
      <c r="S11" s="8"/>
      <c r="T11" s="8"/>
      <c r="U11" s="8"/>
      <c r="V11" s="8"/>
      <c r="W11" s="8"/>
      <c r="X11" s="8"/>
      <c r="Y11" s="8"/>
      <c r="Z11" s="8"/>
    </row>
    <row r="12" spans="1:26" ht="122.25">
      <c r="A12" s="6">
        <v>7</v>
      </c>
      <c r="B12" s="1" t="s">
        <v>24</v>
      </c>
      <c r="C12" s="7" t="s">
        <v>25</v>
      </c>
      <c r="D12" s="7" t="str">
        <f>Consolidação!A33</f>
        <v>1. Usuários iniciantes conseguem utilizar o calendário facilmente. Porém, usuários mais experientes podem sentir falta de atalhos ou navegação mais rápida.
2. Não foram identificados problemas relevantes
3. O cursor personalizado é ativado apenas para telas acima de 600px. Em dispositivos móveis a experiência é padrão, o que é adequado. Porém, não há indicador de seção ativa no menu de navegação, o que reduziria a eficiência de orientação para usuários experientes.
4. O seletor de tempo existe, mas não comunica visualmente que é interativo, o número parece texto estático, o que pode confundir usuários na primeira vez.
5. Não foram encontrados problemas.
6. Não há problemas relevantes.</v>
      </c>
      <c r="E12" s="7" t="str">
        <f>Consolidação!B33</f>
        <v>1. Adicionar atalhos de teclado e filtros rápidos para melhorar a produtividade.
2. Manter a organização atual das ações rápidas, garantindo que continuem facilmente acessíveis aos usuários.
3.  Implementar destaque visual no link de navegação correspondente à seção visível no momento, melhorando a orientação para todos os perfis de usuário.
4. Adicionar indicador visual (ícone de edição, sublinhado ou destaque) para sinalizar que o tempo é editável.
5. Manter a configuração do sistema
6. -</v>
      </c>
      <c r="F12" s="8"/>
      <c r="G12" s="8"/>
      <c r="H12" s="8"/>
      <c r="I12" s="8"/>
      <c r="J12" s="8"/>
      <c r="K12" s="8"/>
      <c r="L12" s="8"/>
      <c r="M12" s="8"/>
      <c r="N12" s="8"/>
      <c r="O12" s="8"/>
      <c r="P12" s="8"/>
      <c r="Q12" s="8"/>
      <c r="R12" s="8"/>
      <c r="S12" s="8"/>
      <c r="T12" s="8"/>
      <c r="U12" s="8"/>
      <c r="V12" s="8"/>
      <c r="W12" s="8"/>
      <c r="X12" s="8"/>
      <c r="Y12" s="8"/>
      <c r="Z12" s="8"/>
    </row>
    <row r="13" spans="1:26" ht="122.25">
      <c r="A13" s="6">
        <v>8</v>
      </c>
      <c r="B13" s="1" t="s">
        <v>26</v>
      </c>
      <c r="C13" s="7" t="s">
        <v>27</v>
      </c>
      <c r="D13" s="7" t="str">
        <f>Consolidação!A34</f>
        <v>1. A interface possui visual limpo, organizado e agradável, utilizando uma paleta suave e poucas distrações visuais. Não foram identificados problemas relevantes.
2. O design é limpo e organizado, porém alguns textos possuem contraste baixo com o fundo, dificultando a leitura.
3. Não foram encontrados problemas. O layout é limpo, com hierarquia visual clara, paleta coesa e sem elementos decorativos excessivos. As seções são bem delimitadas e o conteúdo é direto ao ponto.
4. Não foram identificados problemas relevantes.
5. Não foram encontrados problemas.
6. Não há problemas relevantes.</v>
      </c>
      <c r="E13" s="7" t="str">
        <f>Consolidação!B34</f>
        <v>1. Manter o design minimalista e evitar excesso de informações na tela principal.
2. Melhorar o contraste dos rótulos secundários e informações menores para aumentar a acessibilidade.
3. Manter a configuração atual.
4. Manter o design simples e objetivo.
5. Manter a configuração do sistema
6. -</v>
      </c>
      <c r="F13" s="8"/>
      <c r="G13" s="8"/>
      <c r="H13" s="8"/>
      <c r="I13" s="8"/>
      <c r="J13" s="8"/>
      <c r="K13" s="8"/>
      <c r="L13" s="8"/>
      <c r="M13" s="8"/>
      <c r="N13" s="8"/>
      <c r="O13" s="8"/>
      <c r="P13" s="8"/>
      <c r="Q13" s="8"/>
      <c r="R13" s="8"/>
      <c r="S13" s="8"/>
      <c r="T13" s="8"/>
      <c r="U13" s="8"/>
      <c r="V13" s="8"/>
      <c r="W13" s="8"/>
      <c r="X13" s="8"/>
      <c r="Y13" s="8"/>
      <c r="Z13" s="8"/>
    </row>
    <row r="14" spans="1:26" ht="176.25" customHeight="1">
      <c r="A14" s="6">
        <v>9</v>
      </c>
      <c r="B14" s="1" t="s">
        <v>28</v>
      </c>
      <c r="C14" s="7" t="s">
        <v>29</v>
      </c>
      <c r="D14" s="7" t="str">
        <f>Consolidação!A35</f>
        <v xml:space="preserve">1. Não existem mensagens de erro porque a aplicação ainda não possui integração com backend. Em futuras versões, falhas de carregamento ou salvamento podem não ficar claras ao usuário.
2. Não são apresentadas mensagens de erro ou orientações quando ocorre um problema de preenchimento ou operação inválida.
3. Não se aplica diretamente, pois a landing page não possui interações que gerem estados de erro (sem formulários, sem login, sem buscas). A página é essencialmente informativa e não expõe o usuário a situações de erro.
4. Não há mensagens específicas orientando o usuário caso ocorra algum erro ou ação inválida.
5. Não foram encontrados problemas, as mensagens de erro de senha ou e-mail são claras e objetivas
6. Não há mensagens para problemas de erro ou operação inválida. </v>
      </c>
      <c r="E14" s="7" t="str">
        <f>Consolidação!B35</f>
        <v>1. Implementar mensagens amigáveis de erro e feedback para operações futuras envolvendo banco de dados ou APIs.
2. Exibir mensagens claras explicando o erro e orientando o usuário sobre como corrigi-lo.
3. Manter a configuração atual.
4. Exibir mensagens explicativas quando alguma ação não puder ser realizada.
5. Manter a configuração do sistema
6. Adicionar mensagens para problemas de erro ou operação inválida que oriente o usuário sobre como corrigi-lo.</v>
      </c>
      <c r="F14" s="8"/>
      <c r="G14" s="8"/>
      <c r="H14" s="8"/>
      <c r="I14" s="8"/>
      <c r="J14" s="8"/>
      <c r="K14" s="8"/>
      <c r="L14" s="8"/>
      <c r="M14" s="8"/>
      <c r="N14" s="8"/>
      <c r="O14" s="8"/>
      <c r="P14" s="8"/>
      <c r="Q14" s="8"/>
      <c r="R14" s="8"/>
      <c r="S14" s="8"/>
      <c r="T14" s="8"/>
      <c r="U14" s="8"/>
      <c r="V14" s="8"/>
      <c r="W14" s="8"/>
      <c r="X14" s="8"/>
      <c r="Y14" s="8"/>
      <c r="Z14" s="8"/>
    </row>
    <row r="15" spans="1:26" ht="177" customHeight="1">
      <c r="A15" s="9">
        <v>10</v>
      </c>
      <c r="B15" s="10" t="s">
        <v>30</v>
      </c>
      <c r="C15" s="11" t="s">
        <v>31</v>
      </c>
      <c r="D15" s="7" t="str">
        <f>Consolidação!A36</f>
        <v>1. Não há uma seção de ajuda ou explicação das funcionalidades para novos usuários. Usuários podem precisar explorar a interface para compreender todas as funcionalidades.
2. Não há opção visível de ajuda, tutorial inicial ou seção de dúvidas frequentes.
3. Não foram encontrados problemas. A landing page é autoexplicativa, com descrições claras de cada funcionalidade do app nas feature cards. O público-alvo consegue compreender o propósito do sistema sem necessidade de documentação adicional.
4. O sistema é simples de usar, mas não possui uma área de ajuda ou orientações para novos usuários.
5. A tela de login é intuitiva e autoexplicativa, seguindo padrões de outros sistemas já existentes, portanto dispensando documentação para acessar.
6. Não há nenhuma seção para ajuda ou documentação.</v>
      </c>
      <c r="E15" s="7" t="str">
        <f>Consolidação!B36</f>
        <v>1. Adicionar uma tela de onboarding, tutorial inicial ou seção de ajuda explicando os recursos do calendário.
2. Adicionar um guia rápido de utilização, FAQ ou tour inicial para novos usuários.
3. Manter a configuração atual.
4. Adicionar uma breve explicação das funcionalidades na primeira utilização do sistema.
5. Manter a configuração do sistema
6. Adicionar uma área visível para ajuda e explicação das funcionando com exemplos para novos usuários.</v>
      </c>
      <c r="F15" s="8"/>
      <c r="G15" s="8"/>
      <c r="H15" s="8"/>
      <c r="I15" s="8"/>
      <c r="J15" s="8"/>
      <c r="K15" s="8"/>
      <c r="L15" s="8"/>
      <c r="M15" s="8"/>
      <c r="N15" s="8"/>
      <c r="O15" s="8"/>
      <c r="P15" s="8"/>
      <c r="Q15" s="8"/>
      <c r="R15" s="8"/>
      <c r="S15" s="8"/>
      <c r="T15" s="8"/>
      <c r="U15" s="8"/>
      <c r="V15" s="8"/>
      <c r="W15" s="8"/>
      <c r="X15" s="8"/>
      <c r="Y15" s="8"/>
      <c r="Z15" s="8"/>
    </row>
    <row r="16" spans="1:26" ht="70.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c r="A17" s="1" t="s">
        <v>32</v>
      </c>
      <c r="B17" s="7" t="s">
        <v>33</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c r="A18" s="7"/>
      <c r="B18" s="12" t="s">
        <v>34</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00000000-0004-0000-0000-000000000000}"/>
    <hyperlink ref="B3:E3" r:id="rId2" display="https://github.com/ICEI-PUC-Minas-PMV-SI/pmv-si-2026-1-pe3-t4-lumora/tree/main/src/aplicacao" xr:uid="{C2D70E9B-C761-422D-8A42-25145E8C977B}"/>
  </hyperlinks>
  <pageMargins left="0.75" right="0.75" top="1" bottom="1"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BA8A-0D53-4FB8-9AE9-80835162713F}">
  <dimension ref="A1:Z1000"/>
  <sheetViews>
    <sheetView topLeftCell="A4" zoomScale="55" zoomScaleNormal="55" workbookViewId="0">
      <selection activeCell="E13" sqref="E13"/>
    </sheetView>
  </sheetViews>
  <sheetFormatPr defaultColWidth="11.25" defaultRowHeight="15.7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c r="A1" s="37" t="s">
        <v>0</v>
      </c>
      <c r="B1" s="37"/>
      <c r="C1" s="37"/>
      <c r="D1" s="37"/>
      <c r="E1" s="37"/>
      <c r="F1" s="2"/>
      <c r="G1" s="2"/>
      <c r="H1" s="2"/>
      <c r="I1" s="2"/>
      <c r="J1" s="2"/>
      <c r="K1" s="2"/>
      <c r="L1" s="2"/>
      <c r="M1" s="2"/>
      <c r="N1" s="2"/>
      <c r="O1" s="2"/>
      <c r="P1" s="2"/>
      <c r="Q1" s="2"/>
      <c r="R1" s="2"/>
      <c r="S1" s="2"/>
      <c r="T1" s="2"/>
      <c r="U1" s="2"/>
      <c r="V1" s="2"/>
      <c r="W1" s="2"/>
      <c r="X1" s="2"/>
      <c r="Y1" s="2"/>
      <c r="Z1" s="2"/>
    </row>
    <row r="2" spans="1:26" ht="27.75" customHeight="1">
      <c r="A2" s="3" t="s">
        <v>1</v>
      </c>
      <c r="B2" s="38" t="s">
        <v>2</v>
      </c>
      <c r="C2" s="39"/>
      <c r="D2" s="39"/>
      <c r="E2" s="39"/>
      <c r="F2" s="2"/>
      <c r="G2" s="2"/>
      <c r="H2" s="2"/>
      <c r="I2" s="2"/>
      <c r="J2" s="2"/>
      <c r="K2" s="2"/>
      <c r="L2" s="2"/>
      <c r="M2" s="2"/>
      <c r="N2" s="2"/>
      <c r="O2" s="2"/>
      <c r="P2" s="2"/>
      <c r="Q2" s="2"/>
      <c r="R2" s="2"/>
      <c r="S2" s="2"/>
      <c r="T2" s="2"/>
      <c r="U2" s="2"/>
      <c r="V2" s="2"/>
      <c r="W2" s="2"/>
      <c r="X2" s="2"/>
      <c r="Y2" s="2"/>
      <c r="Z2" s="2"/>
    </row>
    <row r="3" spans="1:26" ht="27.75" customHeight="1">
      <c r="A3" s="3" t="s">
        <v>3</v>
      </c>
      <c r="B3" s="40" t="s">
        <v>35</v>
      </c>
      <c r="C3" s="40"/>
      <c r="D3" s="40"/>
      <c r="E3" s="40"/>
      <c r="F3" s="2"/>
      <c r="G3" s="2"/>
      <c r="H3" s="2"/>
      <c r="I3" s="2"/>
      <c r="J3" s="2"/>
      <c r="K3" s="2"/>
      <c r="L3" s="2"/>
      <c r="M3" s="2"/>
      <c r="N3" s="2"/>
      <c r="O3" s="2"/>
      <c r="P3" s="2"/>
      <c r="Q3" s="2"/>
      <c r="R3" s="2"/>
      <c r="S3" s="2"/>
      <c r="T3" s="2"/>
      <c r="U3" s="2"/>
      <c r="V3" s="2"/>
      <c r="W3" s="2"/>
      <c r="X3" s="2"/>
      <c r="Y3" s="2"/>
      <c r="Z3" s="2"/>
    </row>
    <row r="4" spans="1:26" ht="27.75" customHeight="1">
      <c r="A4" s="3" t="s">
        <v>5</v>
      </c>
      <c r="B4" s="41" t="s">
        <v>36</v>
      </c>
      <c r="C4" s="41"/>
      <c r="D4" s="41"/>
      <c r="E4" s="41"/>
      <c r="F4" s="2"/>
      <c r="G4" s="2"/>
      <c r="H4" s="2"/>
      <c r="I4" s="2"/>
      <c r="J4" s="2"/>
      <c r="K4" s="2"/>
      <c r="L4" s="2"/>
      <c r="M4" s="2"/>
      <c r="N4" s="2"/>
      <c r="O4" s="2"/>
      <c r="P4" s="2"/>
      <c r="Q4" s="2"/>
      <c r="R4" s="2"/>
      <c r="S4" s="2"/>
      <c r="T4" s="2"/>
      <c r="U4" s="2"/>
      <c r="V4" s="2"/>
      <c r="W4" s="2"/>
      <c r="X4" s="2"/>
      <c r="Y4" s="2"/>
      <c r="Z4" s="2"/>
    </row>
    <row r="5" spans="1:26" ht="42" customHeight="1">
      <c r="A5" s="4" t="s">
        <v>7</v>
      </c>
      <c r="B5" s="5" t="s">
        <v>8</v>
      </c>
      <c r="C5" s="5" t="s">
        <v>9</v>
      </c>
      <c r="D5" s="5" t="s">
        <v>10</v>
      </c>
      <c r="E5" s="5" t="s">
        <v>11</v>
      </c>
      <c r="F5" s="2"/>
      <c r="G5" s="2"/>
      <c r="H5" s="2"/>
      <c r="I5" s="2"/>
      <c r="J5" s="2"/>
      <c r="K5" s="2"/>
      <c r="L5" s="2"/>
      <c r="M5" s="2"/>
      <c r="N5" s="2"/>
      <c r="O5" s="2"/>
      <c r="P5" s="2"/>
      <c r="Q5" s="2"/>
      <c r="R5" s="2"/>
      <c r="S5" s="2"/>
      <c r="T5" s="2"/>
      <c r="U5" s="2"/>
      <c r="V5" s="2"/>
      <c r="W5" s="2"/>
      <c r="X5" s="2"/>
      <c r="Y5" s="2"/>
      <c r="Z5" s="2"/>
    </row>
    <row r="6" spans="1:26" ht="76.5">
      <c r="A6" s="6">
        <v>1</v>
      </c>
      <c r="B6" s="1" t="s">
        <v>12</v>
      </c>
      <c r="C6" s="7" t="s">
        <v>13</v>
      </c>
      <c r="D6" s="35" t="s">
        <v>37</v>
      </c>
      <c r="E6" s="29" t="s">
        <v>38</v>
      </c>
      <c r="F6" s="8"/>
      <c r="G6" s="8"/>
      <c r="H6" s="8"/>
      <c r="I6" s="8"/>
      <c r="J6" s="8"/>
      <c r="K6" s="8"/>
      <c r="L6" s="8"/>
      <c r="M6" s="8"/>
      <c r="N6" s="8"/>
      <c r="O6" s="8"/>
      <c r="P6" s="8"/>
      <c r="Q6" s="8"/>
      <c r="R6" s="8"/>
      <c r="S6" s="8"/>
      <c r="T6" s="8"/>
      <c r="U6" s="8"/>
      <c r="V6" s="8"/>
      <c r="W6" s="8"/>
      <c r="X6" s="8"/>
      <c r="Y6" s="8"/>
      <c r="Z6" s="8"/>
    </row>
    <row r="7" spans="1:26" ht="91.5">
      <c r="A7" s="6">
        <v>2</v>
      </c>
      <c r="B7" s="1" t="s">
        <v>14</v>
      </c>
      <c r="C7" s="7" t="s">
        <v>15</v>
      </c>
      <c r="D7" s="35" t="s">
        <v>39</v>
      </c>
      <c r="E7" s="35" t="s">
        <v>40</v>
      </c>
      <c r="F7" s="8"/>
      <c r="G7" s="8"/>
      <c r="H7" s="8"/>
      <c r="I7" s="8"/>
      <c r="J7" s="8"/>
      <c r="K7" s="8"/>
      <c r="L7" s="8"/>
      <c r="M7" s="8"/>
      <c r="N7" s="8"/>
      <c r="O7" s="8"/>
      <c r="P7" s="8"/>
      <c r="Q7" s="8"/>
      <c r="R7" s="8"/>
      <c r="S7" s="8"/>
      <c r="T7" s="8"/>
      <c r="U7" s="8"/>
      <c r="V7" s="8"/>
      <c r="W7" s="8"/>
      <c r="X7" s="8"/>
      <c r="Y7" s="8"/>
      <c r="Z7" s="8"/>
    </row>
    <row r="8" spans="1:26" ht="61.5">
      <c r="A8" s="6">
        <v>3</v>
      </c>
      <c r="B8" s="1" t="s">
        <v>16</v>
      </c>
      <c r="C8" s="7" t="s">
        <v>17</v>
      </c>
      <c r="D8" s="35" t="s">
        <v>41</v>
      </c>
      <c r="E8" s="35" t="s">
        <v>42</v>
      </c>
      <c r="F8" s="8"/>
      <c r="G8" s="8"/>
      <c r="H8" s="8"/>
      <c r="I8" s="8"/>
      <c r="J8" s="8"/>
      <c r="K8" s="8"/>
      <c r="L8" s="8"/>
      <c r="M8" s="8"/>
      <c r="N8" s="8"/>
      <c r="O8" s="8"/>
      <c r="P8" s="8"/>
      <c r="Q8" s="8"/>
      <c r="R8" s="8"/>
      <c r="S8" s="8"/>
      <c r="T8" s="8"/>
      <c r="U8" s="8"/>
      <c r="V8" s="8"/>
      <c r="W8" s="8"/>
      <c r="X8" s="8"/>
      <c r="Y8" s="8"/>
      <c r="Z8" s="8"/>
    </row>
    <row r="9" spans="1:26" ht="61.5">
      <c r="A9" s="6">
        <v>4</v>
      </c>
      <c r="B9" s="1" t="s">
        <v>18</v>
      </c>
      <c r="C9" s="7" t="s">
        <v>19</v>
      </c>
      <c r="D9" s="35" t="s">
        <v>43</v>
      </c>
      <c r="E9" s="35" t="s">
        <v>44</v>
      </c>
      <c r="F9" s="8"/>
      <c r="G9" s="8"/>
      <c r="H9" s="8"/>
      <c r="I9" s="8"/>
      <c r="J9" s="8"/>
      <c r="K9" s="8"/>
      <c r="L9" s="8"/>
      <c r="M9" s="8"/>
      <c r="N9" s="8"/>
      <c r="O9" s="8"/>
      <c r="P9" s="8"/>
      <c r="Q9" s="8"/>
      <c r="R9" s="8"/>
      <c r="S9" s="8"/>
      <c r="T9" s="8"/>
      <c r="U9" s="8"/>
      <c r="V9" s="8"/>
      <c r="W9" s="8"/>
      <c r="X9" s="8"/>
      <c r="Y9" s="8"/>
      <c r="Z9" s="8"/>
    </row>
    <row r="10" spans="1:26" ht="61.5">
      <c r="A10" s="6">
        <v>5</v>
      </c>
      <c r="B10" s="1" t="s">
        <v>20</v>
      </c>
      <c r="C10" s="7" t="s">
        <v>21</v>
      </c>
      <c r="D10" s="35" t="s">
        <v>45</v>
      </c>
      <c r="E10" s="35" t="s">
        <v>46</v>
      </c>
      <c r="F10" s="8"/>
      <c r="G10" s="8"/>
      <c r="H10" s="8"/>
      <c r="I10" s="8"/>
      <c r="J10" s="8"/>
      <c r="K10" s="8"/>
      <c r="L10" s="8"/>
      <c r="M10" s="8"/>
      <c r="N10" s="8"/>
      <c r="O10" s="8"/>
      <c r="P10" s="8"/>
      <c r="Q10" s="8"/>
      <c r="R10" s="8"/>
      <c r="S10" s="8"/>
      <c r="T10" s="8"/>
      <c r="U10" s="8"/>
      <c r="V10" s="8"/>
      <c r="W10" s="8"/>
      <c r="X10" s="8"/>
      <c r="Y10" s="8"/>
      <c r="Z10" s="8"/>
    </row>
    <row r="11" spans="1:26" ht="76.5">
      <c r="A11" s="6">
        <v>6</v>
      </c>
      <c r="B11" s="1" t="s">
        <v>22</v>
      </c>
      <c r="C11" s="7" t="s">
        <v>23</v>
      </c>
      <c r="D11" s="35" t="s">
        <v>47</v>
      </c>
      <c r="E11" s="35" t="s">
        <v>48</v>
      </c>
      <c r="F11" s="8"/>
      <c r="G11" s="8"/>
      <c r="H11" s="8"/>
      <c r="I11" s="8"/>
      <c r="J11" s="8"/>
      <c r="K11" s="8"/>
      <c r="L11" s="8"/>
      <c r="M11" s="8"/>
      <c r="N11" s="8"/>
      <c r="O11" s="8"/>
      <c r="P11" s="8"/>
      <c r="Q11" s="8"/>
      <c r="R11" s="8"/>
      <c r="S11" s="8"/>
      <c r="T11" s="8"/>
      <c r="U11" s="8"/>
      <c r="V11" s="8"/>
      <c r="W11" s="8"/>
      <c r="X11" s="8"/>
      <c r="Y11" s="8"/>
      <c r="Z11" s="8"/>
    </row>
    <row r="12" spans="1:26" ht="61.5">
      <c r="A12" s="6">
        <v>7</v>
      </c>
      <c r="B12" s="1" t="s">
        <v>24</v>
      </c>
      <c r="C12" s="7" t="s">
        <v>25</v>
      </c>
      <c r="D12" s="35" t="s">
        <v>49</v>
      </c>
      <c r="E12" s="35" t="s">
        <v>50</v>
      </c>
      <c r="F12" s="8"/>
      <c r="G12" s="8"/>
      <c r="H12" s="8"/>
      <c r="I12" s="8"/>
      <c r="J12" s="8"/>
      <c r="K12" s="8"/>
      <c r="L12" s="8"/>
      <c r="M12" s="8"/>
      <c r="N12" s="8"/>
      <c r="O12" s="8"/>
      <c r="P12" s="8"/>
      <c r="Q12" s="8"/>
      <c r="R12" s="8"/>
      <c r="S12" s="8"/>
      <c r="T12" s="8"/>
      <c r="U12" s="8"/>
      <c r="V12" s="8"/>
      <c r="W12" s="8"/>
      <c r="X12" s="8"/>
      <c r="Y12" s="8"/>
      <c r="Z12" s="8"/>
    </row>
    <row r="13" spans="1:26" ht="61.5">
      <c r="A13" s="6">
        <v>8</v>
      </c>
      <c r="B13" s="1" t="s">
        <v>26</v>
      </c>
      <c r="C13" s="7" t="s">
        <v>27</v>
      </c>
      <c r="D13" s="35" t="s">
        <v>51</v>
      </c>
      <c r="E13" s="35" t="s">
        <v>52</v>
      </c>
      <c r="F13" s="8"/>
      <c r="G13" s="8"/>
      <c r="H13" s="8"/>
      <c r="I13" s="8"/>
      <c r="J13" s="8"/>
      <c r="K13" s="8"/>
      <c r="L13" s="8"/>
      <c r="M13" s="8"/>
      <c r="N13" s="8"/>
      <c r="O13" s="8"/>
      <c r="P13" s="8"/>
      <c r="Q13" s="8"/>
      <c r="R13" s="8"/>
      <c r="S13" s="8"/>
      <c r="T13" s="8"/>
      <c r="U13" s="8"/>
      <c r="V13" s="8"/>
      <c r="W13" s="8"/>
      <c r="X13" s="8"/>
      <c r="Y13" s="8"/>
      <c r="Z13" s="8"/>
    </row>
    <row r="14" spans="1:26" ht="76.5">
      <c r="A14" s="6">
        <v>9</v>
      </c>
      <c r="B14" s="1" t="s">
        <v>28</v>
      </c>
      <c r="C14" s="7" t="s">
        <v>29</v>
      </c>
      <c r="D14" s="35" t="s">
        <v>53</v>
      </c>
      <c r="E14" s="35" t="s">
        <v>54</v>
      </c>
      <c r="F14" s="8"/>
      <c r="G14" s="8"/>
      <c r="H14" s="8"/>
      <c r="I14" s="8"/>
      <c r="J14" s="8"/>
      <c r="K14" s="8"/>
      <c r="L14" s="8"/>
      <c r="M14" s="8"/>
      <c r="N14" s="8"/>
      <c r="O14" s="8"/>
      <c r="P14" s="8"/>
      <c r="Q14" s="8"/>
      <c r="R14" s="8"/>
      <c r="S14" s="8"/>
      <c r="T14" s="8"/>
      <c r="U14" s="8"/>
      <c r="V14" s="8"/>
      <c r="W14" s="8"/>
      <c r="X14" s="8"/>
      <c r="Y14" s="8"/>
      <c r="Z14" s="8"/>
    </row>
    <row r="15" spans="1:26" ht="61.5">
      <c r="A15" s="9">
        <v>10</v>
      </c>
      <c r="B15" s="10" t="s">
        <v>30</v>
      </c>
      <c r="C15" s="11" t="s">
        <v>31</v>
      </c>
      <c r="D15" s="36" t="s">
        <v>55</v>
      </c>
      <c r="E15" s="36" t="s">
        <v>56</v>
      </c>
      <c r="F15" s="8"/>
      <c r="G15" s="8"/>
      <c r="H15" s="8"/>
      <c r="I15" s="8"/>
      <c r="J15" s="8"/>
      <c r="K15" s="8"/>
      <c r="L15" s="8"/>
      <c r="M15" s="8"/>
      <c r="N15" s="8"/>
      <c r="O15" s="8"/>
      <c r="P15" s="8"/>
      <c r="Q15" s="8"/>
      <c r="R15" s="8"/>
      <c r="S15" s="8"/>
      <c r="T15" s="8"/>
      <c r="U15" s="8"/>
      <c r="V15" s="8"/>
      <c r="W15" s="8"/>
      <c r="X15" s="8"/>
      <c r="Y15" s="8"/>
      <c r="Z15" s="8"/>
    </row>
    <row r="16" spans="1:26" ht="70.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c r="A17" s="1" t="s">
        <v>32</v>
      </c>
      <c r="B17" s="7" t="s">
        <v>33</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c r="A18" s="7"/>
      <c r="B18" s="12" t="s">
        <v>34</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38A4C6B6-EE55-4437-A08B-77D821E52435}"/>
    <hyperlink ref="B3:E3" r:id="rId2" display="https://github.com/ICEI-PUC-Minas-PMV-SI/pmv-si-2026-1-pe3-t4-lumora/tree/55bab6ae1f43c5f7058ad9a66fe8e4b4e95b5959/docs/apresentacao_x0009__x0009__x0009_" xr:uid="{F9B27632-CCD3-464D-B413-37BC699D1241}"/>
  </hyperlinks>
  <pageMargins left="0.75" right="0.75" top="1" bottom="1"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AAF66-456A-4C32-80C6-CF20B456FDCB}">
  <dimension ref="A1:Z1000"/>
  <sheetViews>
    <sheetView zoomScale="55" zoomScaleNormal="55" workbookViewId="0">
      <selection activeCell="E14" sqref="E14"/>
    </sheetView>
  </sheetViews>
  <sheetFormatPr defaultColWidth="11.25" defaultRowHeight="15.7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c r="A1" s="43" t="s">
        <v>0</v>
      </c>
      <c r="B1" s="43"/>
      <c r="C1" s="43"/>
      <c r="D1" s="43"/>
      <c r="E1" s="43"/>
      <c r="F1" s="13"/>
      <c r="G1" s="13"/>
      <c r="H1" s="13"/>
      <c r="I1" s="13"/>
      <c r="J1" s="13"/>
      <c r="K1" s="13"/>
      <c r="L1" s="13"/>
      <c r="M1" s="13"/>
      <c r="N1" s="13"/>
      <c r="O1" s="13"/>
      <c r="P1" s="13"/>
      <c r="Q1" s="13"/>
      <c r="R1" s="13"/>
      <c r="S1" s="13"/>
      <c r="T1" s="13"/>
      <c r="U1" s="13"/>
      <c r="V1" s="13"/>
      <c r="W1" s="13"/>
      <c r="X1" s="13"/>
      <c r="Y1" s="13"/>
      <c r="Z1" s="13"/>
    </row>
    <row r="2" spans="1:26" ht="27.75" customHeight="1">
      <c r="A2" s="14" t="s">
        <v>1</v>
      </c>
      <c r="B2" s="38" t="s">
        <v>2</v>
      </c>
      <c r="C2" s="44"/>
      <c r="D2" s="44"/>
      <c r="E2" s="44"/>
      <c r="F2" s="13"/>
      <c r="G2" s="13"/>
      <c r="H2" s="13"/>
      <c r="I2" s="13"/>
      <c r="J2" s="13"/>
      <c r="K2" s="13"/>
      <c r="L2" s="13"/>
      <c r="M2" s="13"/>
      <c r="N2" s="13"/>
      <c r="O2" s="13"/>
      <c r="P2" s="13"/>
      <c r="Q2" s="13"/>
      <c r="R2" s="13"/>
      <c r="S2" s="13"/>
      <c r="T2" s="13"/>
      <c r="U2" s="13"/>
      <c r="V2" s="13"/>
      <c r="W2" s="13"/>
      <c r="X2" s="13"/>
      <c r="Y2" s="13"/>
      <c r="Z2" s="13"/>
    </row>
    <row r="3" spans="1:26" ht="27.75" customHeight="1">
      <c r="A3" s="14" t="s">
        <v>3</v>
      </c>
      <c r="B3" s="44"/>
      <c r="C3" s="44"/>
      <c r="D3" s="44"/>
      <c r="E3" s="44"/>
      <c r="F3" s="13"/>
      <c r="G3" s="13"/>
      <c r="H3" s="13"/>
      <c r="I3" s="13"/>
      <c r="J3" s="13"/>
      <c r="K3" s="13"/>
      <c r="L3" s="13"/>
      <c r="M3" s="13"/>
      <c r="N3" s="13"/>
      <c r="O3" s="13"/>
      <c r="P3" s="13"/>
      <c r="Q3" s="13"/>
      <c r="R3" s="13"/>
      <c r="S3" s="13"/>
      <c r="T3" s="13"/>
      <c r="U3" s="13"/>
      <c r="V3" s="13"/>
      <c r="W3" s="13"/>
      <c r="X3" s="13"/>
      <c r="Y3" s="13"/>
      <c r="Z3" s="13"/>
    </row>
    <row r="4" spans="1:26" ht="27.75" customHeight="1">
      <c r="A4" s="14" t="s">
        <v>5</v>
      </c>
      <c r="B4" s="42" t="s">
        <v>57</v>
      </c>
      <c r="C4" s="45"/>
      <c r="D4" s="45"/>
      <c r="E4" s="45"/>
      <c r="F4" s="13"/>
      <c r="G4" s="13"/>
      <c r="H4" s="13"/>
      <c r="I4" s="13"/>
      <c r="J4" s="13"/>
      <c r="K4" s="13"/>
      <c r="L4" s="13"/>
      <c r="M4" s="13"/>
      <c r="N4" s="13"/>
      <c r="O4" s="13"/>
      <c r="P4" s="13"/>
      <c r="Q4" s="13"/>
      <c r="R4" s="13"/>
      <c r="S4" s="13"/>
      <c r="T4" s="13"/>
      <c r="U4" s="13"/>
      <c r="V4" s="13"/>
      <c r="W4" s="13"/>
      <c r="X4" s="13"/>
      <c r="Y4" s="13"/>
      <c r="Z4" s="13"/>
    </row>
    <row r="5" spans="1:26" ht="42" customHeight="1">
      <c r="A5" s="16" t="s">
        <v>7</v>
      </c>
      <c r="B5" s="17" t="s">
        <v>8</v>
      </c>
      <c r="C5" s="17" t="s">
        <v>9</v>
      </c>
      <c r="D5" s="17" t="s">
        <v>10</v>
      </c>
      <c r="E5" s="17" t="s">
        <v>11</v>
      </c>
      <c r="F5" s="13"/>
      <c r="G5" s="13"/>
      <c r="H5" s="13"/>
      <c r="I5" s="13"/>
      <c r="J5" s="13"/>
      <c r="K5" s="13"/>
      <c r="L5" s="13"/>
      <c r="M5" s="13"/>
      <c r="N5" s="13"/>
      <c r="O5" s="13"/>
      <c r="P5" s="13"/>
      <c r="Q5" s="13"/>
      <c r="R5" s="13"/>
      <c r="S5" s="13"/>
      <c r="T5" s="13"/>
      <c r="U5" s="13"/>
      <c r="V5" s="13"/>
      <c r="W5" s="13"/>
      <c r="X5" s="13"/>
      <c r="Y5" s="13"/>
      <c r="Z5" s="13"/>
    </row>
    <row r="6" spans="1:26" ht="61.5">
      <c r="A6" s="18">
        <v>1</v>
      </c>
      <c r="B6" s="15" t="s">
        <v>12</v>
      </c>
      <c r="C6" s="19" t="s">
        <v>13</v>
      </c>
      <c r="D6" s="19" t="s">
        <v>58</v>
      </c>
      <c r="E6" s="19" t="s">
        <v>59</v>
      </c>
      <c r="F6" s="20"/>
      <c r="G6" s="20"/>
      <c r="H6" s="20"/>
      <c r="I6" s="20"/>
      <c r="J6" s="20"/>
      <c r="K6" s="20"/>
      <c r="L6" s="20"/>
      <c r="M6" s="20"/>
      <c r="N6" s="20"/>
      <c r="O6" s="20"/>
      <c r="P6" s="20"/>
      <c r="Q6" s="20"/>
      <c r="R6" s="20"/>
      <c r="S6" s="20"/>
      <c r="T6" s="20"/>
      <c r="U6" s="20"/>
      <c r="V6" s="20"/>
      <c r="W6" s="20"/>
      <c r="X6" s="20"/>
      <c r="Y6" s="20"/>
      <c r="Z6" s="20"/>
    </row>
    <row r="7" spans="1:26" ht="61.5">
      <c r="A7" s="18">
        <v>2</v>
      </c>
      <c r="B7" s="15" t="s">
        <v>14</v>
      </c>
      <c r="C7" s="19" t="s">
        <v>15</v>
      </c>
      <c r="D7" s="19" t="s">
        <v>60</v>
      </c>
      <c r="E7" s="19" t="s">
        <v>61</v>
      </c>
      <c r="F7" s="20"/>
      <c r="G7" s="20"/>
      <c r="H7" s="20"/>
      <c r="I7" s="20"/>
      <c r="J7" s="20"/>
      <c r="K7" s="20"/>
      <c r="L7" s="20"/>
      <c r="M7" s="20"/>
      <c r="N7" s="20"/>
      <c r="O7" s="20"/>
      <c r="P7" s="20"/>
      <c r="Q7" s="20"/>
      <c r="R7" s="20"/>
      <c r="S7" s="20"/>
      <c r="T7" s="20"/>
      <c r="U7" s="20"/>
      <c r="V7" s="20"/>
      <c r="W7" s="20"/>
      <c r="X7" s="20"/>
      <c r="Y7" s="20"/>
      <c r="Z7" s="20"/>
    </row>
    <row r="8" spans="1:26" ht="61.5">
      <c r="A8" s="18">
        <v>3</v>
      </c>
      <c r="B8" s="15" t="s">
        <v>16</v>
      </c>
      <c r="C8" s="19" t="s">
        <v>17</v>
      </c>
      <c r="D8" s="19" t="s">
        <v>62</v>
      </c>
      <c r="E8" s="19" t="s">
        <v>63</v>
      </c>
      <c r="F8" s="20"/>
      <c r="G8" s="20"/>
      <c r="H8" s="20"/>
      <c r="I8" s="20"/>
      <c r="J8" s="20"/>
      <c r="K8" s="20"/>
      <c r="L8" s="20"/>
      <c r="M8" s="20"/>
      <c r="N8" s="20"/>
      <c r="O8" s="20"/>
      <c r="P8" s="20"/>
      <c r="Q8" s="20"/>
      <c r="R8" s="20"/>
      <c r="S8" s="20"/>
      <c r="T8" s="20"/>
      <c r="U8" s="20"/>
      <c r="V8" s="20"/>
      <c r="W8" s="20"/>
      <c r="X8" s="20"/>
      <c r="Y8" s="20"/>
      <c r="Z8" s="20"/>
    </row>
    <row r="9" spans="1:26" ht="45.75">
      <c r="A9" s="18">
        <v>4</v>
      </c>
      <c r="B9" s="15" t="s">
        <v>18</v>
      </c>
      <c r="C9" s="19" t="s">
        <v>19</v>
      </c>
      <c r="D9" s="19" t="s">
        <v>64</v>
      </c>
      <c r="E9" s="19" t="s">
        <v>65</v>
      </c>
      <c r="F9" s="20"/>
      <c r="G9" s="20"/>
      <c r="H9" s="20"/>
      <c r="I9" s="20"/>
      <c r="J9" s="20"/>
      <c r="K9" s="20"/>
      <c r="L9" s="20"/>
      <c r="M9" s="20"/>
      <c r="N9" s="20"/>
      <c r="O9" s="20"/>
      <c r="P9" s="20"/>
      <c r="Q9" s="20"/>
      <c r="R9" s="20"/>
      <c r="S9" s="20"/>
      <c r="T9" s="20"/>
      <c r="U9" s="20"/>
      <c r="V9" s="20"/>
      <c r="W9" s="20"/>
      <c r="X9" s="20"/>
      <c r="Y9" s="20"/>
      <c r="Z9" s="20"/>
    </row>
    <row r="10" spans="1:26" ht="76.5">
      <c r="A10" s="18">
        <v>5</v>
      </c>
      <c r="B10" s="15" t="s">
        <v>20</v>
      </c>
      <c r="C10" s="19" t="s">
        <v>21</v>
      </c>
      <c r="D10" s="19" t="s">
        <v>66</v>
      </c>
      <c r="E10" s="19" t="s">
        <v>67</v>
      </c>
      <c r="F10" s="20"/>
      <c r="G10" s="20"/>
      <c r="H10" s="20"/>
      <c r="I10" s="20"/>
      <c r="J10" s="20"/>
      <c r="K10" s="20"/>
      <c r="L10" s="20"/>
      <c r="M10" s="20"/>
      <c r="N10" s="20"/>
      <c r="O10" s="20"/>
      <c r="P10" s="20"/>
      <c r="Q10" s="20"/>
      <c r="R10" s="20"/>
      <c r="S10" s="20"/>
      <c r="T10" s="20"/>
      <c r="U10" s="20"/>
      <c r="V10" s="20"/>
      <c r="W10" s="20"/>
      <c r="X10" s="20"/>
      <c r="Y10" s="20"/>
      <c r="Z10" s="20"/>
    </row>
    <row r="11" spans="1:26" ht="61.5">
      <c r="A11" s="18">
        <v>6</v>
      </c>
      <c r="B11" s="15" t="s">
        <v>22</v>
      </c>
      <c r="C11" s="19" t="s">
        <v>23</v>
      </c>
      <c r="D11" s="19" t="s">
        <v>68</v>
      </c>
      <c r="E11" s="19" t="s">
        <v>69</v>
      </c>
      <c r="F11" s="20"/>
      <c r="G11" s="20"/>
      <c r="H11" s="20"/>
      <c r="I11" s="20"/>
      <c r="J11" s="20"/>
      <c r="K11" s="20"/>
      <c r="L11" s="20"/>
      <c r="M11" s="20"/>
      <c r="N11" s="20"/>
      <c r="O11" s="20"/>
      <c r="P11" s="20"/>
      <c r="Q11" s="20"/>
      <c r="R11" s="20"/>
      <c r="S11" s="20"/>
      <c r="T11" s="20"/>
      <c r="U11" s="20"/>
      <c r="V11" s="20"/>
      <c r="W11" s="20"/>
      <c r="X11" s="20"/>
      <c r="Y11" s="20"/>
      <c r="Z11" s="20"/>
    </row>
    <row r="12" spans="1:26" ht="61.5">
      <c r="A12" s="18">
        <v>7</v>
      </c>
      <c r="B12" s="15" t="s">
        <v>24</v>
      </c>
      <c r="C12" s="19" t="s">
        <v>25</v>
      </c>
      <c r="D12" s="19" t="s">
        <v>70</v>
      </c>
      <c r="E12" s="19" t="s">
        <v>71</v>
      </c>
      <c r="F12" s="20"/>
      <c r="G12" s="20"/>
      <c r="H12" s="20"/>
      <c r="I12" s="20"/>
      <c r="J12" s="20"/>
      <c r="K12" s="20"/>
      <c r="L12" s="20"/>
      <c r="M12" s="20"/>
      <c r="N12" s="20"/>
      <c r="O12" s="20"/>
      <c r="P12" s="20"/>
      <c r="Q12" s="20"/>
      <c r="R12" s="20"/>
      <c r="S12" s="20"/>
      <c r="T12" s="20"/>
      <c r="U12" s="20"/>
      <c r="V12" s="20"/>
      <c r="W12" s="20"/>
      <c r="X12" s="20"/>
      <c r="Y12" s="20"/>
      <c r="Z12" s="20"/>
    </row>
    <row r="13" spans="1:26" ht="61.5">
      <c r="A13" s="18">
        <v>8</v>
      </c>
      <c r="B13" s="15" t="s">
        <v>26</v>
      </c>
      <c r="C13" s="19" t="s">
        <v>27</v>
      </c>
      <c r="D13" s="19" t="s">
        <v>72</v>
      </c>
      <c r="E13" s="19" t="s">
        <v>73</v>
      </c>
      <c r="F13" s="20"/>
      <c r="G13" s="20"/>
      <c r="H13" s="20"/>
      <c r="I13" s="20"/>
      <c r="J13" s="20"/>
      <c r="K13" s="20"/>
      <c r="L13" s="20"/>
      <c r="M13" s="20"/>
      <c r="N13" s="20"/>
      <c r="O13" s="20"/>
      <c r="P13" s="20"/>
      <c r="Q13" s="20"/>
      <c r="R13" s="20"/>
      <c r="S13" s="20"/>
      <c r="T13" s="20"/>
      <c r="U13" s="20"/>
      <c r="V13" s="20"/>
      <c r="W13" s="20"/>
      <c r="X13" s="20"/>
      <c r="Y13" s="20"/>
      <c r="Z13" s="20"/>
    </row>
    <row r="14" spans="1:26" ht="45.75">
      <c r="A14" s="18">
        <v>9</v>
      </c>
      <c r="B14" s="15" t="s">
        <v>28</v>
      </c>
      <c r="C14" s="19" t="s">
        <v>29</v>
      </c>
      <c r="D14" s="19" t="s">
        <v>74</v>
      </c>
      <c r="E14" s="19" t="s">
        <v>75</v>
      </c>
      <c r="F14" s="20"/>
      <c r="G14" s="20"/>
      <c r="H14" s="20"/>
      <c r="I14" s="20"/>
      <c r="J14" s="20"/>
      <c r="K14" s="20"/>
      <c r="L14" s="20"/>
      <c r="M14" s="20"/>
      <c r="N14" s="20"/>
      <c r="O14" s="20"/>
      <c r="P14" s="20"/>
      <c r="Q14" s="20"/>
      <c r="R14" s="20"/>
      <c r="S14" s="20"/>
      <c r="T14" s="20"/>
      <c r="U14" s="20"/>
      <c r="V14" s="20"/>
      <c r="W14" s="20"/>
      <c r="X14" s="20"/>
      <c r="Y14" s="20"/>
      <c r="Z14" s="20"/>
    </row>
    <row r="15" spans="1:26" ht="61.5">
      <c r="A15" s="22">
        <v>10</v>
      </c>
      <c r="B15" s="23" t="s">
        <v>30</v>
      </c>
      <c r="C15" s="24" t="s">
        <v>31</v>
      </c>
      <c r="D15" s="19" t="s">
        <v>76</v>
      </c>
      <c r="E15" s="19" t="s">
        <v>77</v>
      </c>
      <c r="F15" s="20"/>
      <c r="G15" s="20"/>
      <c r="H15" s="20"/>
      <c r="I15" s="20"/>
      <c r="J15" s="20"/>
      <c r="K15" s="20"/>
      <c r="L15" s="20"/>
      <c r="M15" s="20"/>
      <c r="N15" s="20"/>
      <c r="O15" s="20"/>
      <c r="P15" s="20"/>
      <c r="Q15" s="20"/>
      <c r="R15" s="20"/>
      <c r="S15" s="20"/>
      <c r="T15" s="20"/>
      <c r="U15" s="20"/>
      <c r="V15" s="20"/>
      <c r="W15" s="20"/>
      <c r="X15" s="20"/>
      <c r="Y15" s="20"/>
      <c r="Z15" s="20"/>
    </row>
    <row r="16" spans="1:26" ht="70.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42" customHeight="1">
      <c r="A17" s="15" t="s">
        <v>32</v>
      </c>
      <c r="B17" s="19" t="s">
        <v>33</v>
      </c>
      <c r="C17" s="19"/>
      <c r="D17" s="19"/>
      <c r="E17" s="20"/>
      <c r="F17" s="20"/>
      <c r="G17" s="20"/>
      <c r="H17" s="20"/>
      <c r="I17" s="20"/>
      <c r="J17" s="20"/>
      <c r="K17" s="20"/>
      <c r="L17" s="20"/>
      <c r="M17" s="20"/>
      <c r="N17" s="20"/>
      <c r="O17" s="20"/>
      <c r="P17" s="20"/>
      <c r="Q17" s="20"/>
      <c r="R17" s="20"/>
      <c r="S17" s="20"/>
      <c r="T17" s="20"/>
      <c r="U17" s="20"/>
      <c r="V17" s="20"/>
      <c r="W17" s="20"/>
      <c r="X17" s="20"/>
      <c r="Y17" s="20"/>
      <c r="Z17" s="20"/>
    </row>
    <row r="18" spans="1:26" ht="42" customHeight="1">
      <c r="A18" s="19"/>
      <c r="B18" s="25" t="s">
        <v>34</v>
      </c>
      <c r="C18" s="19"/>
      <c r="D18" s="19"/>
      <c r="E18" s="20"/>
      <c r="F18" s="20"/>
      <c r="G18" s="20"/>
      <c r="H18" s="20"/>
      <c r="I18" s="20"/>
      <c r="J18" s="20"/>
      <c r="K18" s="20"/>
      <c r="L18" s="20"/>
      <c r="M18" s="20"/>
      <c r="N18" s="20"/>
      <c r="O18" s="20"/>
      <c r="P18" s="20"/>
      <c r="Q18" s="20"/>
      <c r="R18" s="20"/>
      <c r="S18" s="20"/>
      <c r="T18" s="20"/>
      <c r="U18" s="20"/>
      <c r="V18" s="20"/>
      <c r="W18" s="20"/>
      <c r="X18" s="20"/>
      <c r="Y18" s="20"/>
      <c r="Z18" s="20"/>
    </row>
    <row r="19" spans="1:26" ht="56.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56.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56.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56.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56.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56.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56.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56.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56.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56.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56.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56.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56.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56.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56.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56.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56.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56.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56.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56.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56.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56.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56.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56.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56.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56.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56.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56.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56.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56.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56.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56.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56.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56.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56.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56.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56.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56.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56.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56.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56.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56.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56.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56.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56.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56.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56.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56.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56.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56.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56.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56.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56.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56.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56.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56.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56.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56.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56.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56.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56.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56.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56.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56.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56.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56.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56.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56.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56.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56.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56.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56.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56.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56.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56.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56.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56.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56.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56.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56.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56.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56.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56.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56.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56.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56.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56.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56.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56.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56.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56.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56.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56.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56.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56.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56.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56.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56.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56.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56.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56.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56.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56.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56.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56.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56.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56.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56.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56.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56.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56.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56.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56.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56.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56.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56.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56.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56.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56.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56.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56.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56.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56.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56.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56.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56.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56.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56.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56.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56.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56.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56.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56.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56.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56.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56.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56.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56.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56.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56.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56.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56.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56.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56.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56.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56.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56.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56.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56.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56.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56.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56.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56.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56.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56.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56.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56.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56.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56.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56.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56.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56.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56.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56.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56.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56.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56.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56.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56.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56.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56.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56.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56.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56.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56.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56.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56.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56.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56.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56.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56.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56.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56.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56.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56.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56.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56.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56.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56.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56.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56.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56.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56.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56.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56.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56.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56.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56.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56.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56.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56.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56.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56.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56.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56.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56.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56.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56.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56.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56.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56.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56.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56.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56.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56.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56.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56.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56.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56.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56.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56.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56.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56.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56.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56.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56.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56.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56.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56.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56.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56.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56.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56.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56.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56.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56.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56.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56.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56.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56.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56.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56.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56.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56.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56.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56.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56.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56.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56.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56.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56.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56.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56.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56.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56.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56.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56.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56.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56.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56.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56.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56.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56.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56.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56.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56.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56.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56.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56.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56.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56.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56.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56.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56.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56.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56.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56.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56.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56.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56.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56.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56.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56.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56.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56.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56.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56.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56.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56.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56.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56.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56.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56.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56.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56.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56.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56.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56.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56.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56.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56.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56.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56.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56.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56.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56.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56.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56.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56.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56.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56.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56.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56.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56.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56.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56.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56.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56.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56.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56.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56.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56.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56.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56.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56.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56.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56.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56.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56.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56.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56.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56.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56.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56.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56.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56.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56.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56.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56.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56.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56.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56.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56.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56.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56.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56.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56.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56.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56.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56.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56.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56.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56.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56.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56.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56.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56.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56.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56.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56.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56.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56.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56.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56.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56.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56.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56.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56.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56.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56.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56.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56.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56.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56.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56.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56.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56.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56.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56.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56.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56.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56.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56.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56.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56.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56.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56.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56.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56.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56.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56.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56.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56.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56.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56.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56.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56.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56.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56.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56.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56.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56.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56.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56.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56.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56.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56.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56.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56.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56.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56.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56.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56.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56.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56.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56.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56.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56.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56.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56.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56.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56.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56.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56.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56.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56.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56.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56.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56.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56.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56.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56.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56.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56.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56.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56.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56.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56.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56.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56.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56.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56.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56.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56.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56.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56.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56.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56.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56.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56.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56.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56.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56.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56.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56.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56.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56.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56.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56.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56.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56.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56.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56.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56.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56.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56.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56.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56.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56.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56.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56.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56.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56.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56.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56.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56.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56.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56.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56.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56.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56.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56.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56.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56.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56.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56.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56.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56.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56.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56.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56.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56.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56.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56.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56.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56.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56.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56.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56.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56.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56.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56.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56.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56.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56.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56.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56.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56.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56.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56.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56.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56.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56.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56.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56.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56.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56.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56.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56.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56.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56.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56.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56.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56.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56.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56.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56.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56.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56.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56.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56.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56.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56.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56.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56.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56.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56.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56.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56.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56.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56.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56.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56.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56.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56.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56.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56.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56.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56.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56.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56.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56.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56.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56.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56.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56.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56.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56.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56.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56.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56.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56.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56.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56.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56.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56.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56.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56.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56.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56.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56.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56.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56.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56.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56.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56.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56.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56.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56.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56.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56.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56.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56.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56.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56.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56.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56.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56.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56.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56.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56.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56.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56.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56.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56.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56.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56.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56.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56.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56.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56.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56.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56.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56.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56.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56.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56.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56.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56.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56.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56.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56.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56.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56.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56.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56.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56.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56.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56.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56.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56.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56.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56.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56.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56.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56.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56.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56.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56.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56.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56.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56.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56.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56.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56.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56.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56.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56.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56.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56.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56.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56.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56.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56.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56.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56.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56.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56.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56.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56.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56.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56.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56.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56.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56.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56.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56.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56.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56.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56.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56.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56.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56.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56.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56.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56.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56.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56.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56.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56.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56.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56.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56.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56.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56.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56.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56.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56.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56.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56.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56.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56.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56.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56.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56.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56.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56.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56.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56.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56.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56.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56.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56.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56.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56.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56.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56.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56.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56.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56.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56.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56.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56.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56.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56.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56.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56.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56.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56.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56.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56.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56.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56.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56.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56.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56.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56.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56.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56.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56.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56.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56.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56.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56.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56.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56.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56.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56.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56.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56.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56.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56.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56.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56.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56.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56.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56.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56.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56.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56.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56.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56.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56.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56.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56.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56.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56.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56.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56.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56.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56.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56.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56.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56.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56.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56.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56.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56.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56.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56.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56.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56.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56.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56.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56.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56.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56.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56.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56.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56.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56.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56.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56.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56.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56.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56.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56.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56.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56.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56.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56.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56.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56.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56.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56.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56.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56.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56.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56.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56.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56.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56.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56.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56.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56.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56.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56.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56.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56.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56.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56.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56.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56.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56.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56.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56.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56.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56.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56.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56.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56.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56.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56.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56.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56.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56.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56.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56.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56.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56.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56.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56.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56.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56.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56.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56.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56.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56.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56.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56.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56.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56.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56.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56.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56.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56.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56.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56.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56.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56.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56.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56.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56.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56.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56.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56.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56.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56.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56.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56.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56.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56.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56.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56.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56.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56.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56.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56.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56.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56.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56.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56.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56.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56.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56.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56.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56.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56.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56.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56.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56.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56.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56.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56.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56.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56.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56.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56.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56.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56.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56.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56.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56.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56.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56.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56.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56.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56.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56.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56.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56.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56.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56.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56.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56.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56.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56.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56.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56.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56.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56.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56.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56.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56.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56.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56.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56.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56.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56.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56.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56.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56.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56.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56.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56.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56.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56.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56.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56.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56.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56.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56.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56.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56.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56.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56.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56.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56.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56.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56.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56.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56.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56.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56.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56.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56.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56.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56.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56.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56.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56.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56.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56.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56.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56.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56.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56.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56.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56.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56.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56.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56.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56.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56.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56.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56.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56.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56.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56.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56.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56.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56.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56.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56.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56.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56.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56.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56.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56.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56.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56.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56.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56.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56.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56.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56.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56.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56.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56.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56.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56.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56.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
    <mergeCell ref="A1:E1"/>
    <mergeCell ref="B2:E2"/>
    <mergeCell ref="B3:E3"/>
    <mergeCell ref="B4:E4"/>
  </mergeCells>
  <hyperlinks>
    <hyperlink ref="B18" r:id="rId1" xr:uid="{2DE4070F-3A4D-4ED0-928A-D569974EFFA5}"/>
  </hyperlinks>
  <pageMargins left="0.75" right="0.75" top="1" bottom="1"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0C3E-373E-46DD-A8F8-50C84085627B}">
  <dimension ref="A1:Z1000"/>
  <sheetViews>
    <sheetView zoomScale="55" zoomScaleNormal="55" workbookViewId="0">
      <selection sqref="A1:E1"/>
    </sheetView>
  </sheetViews>
  <sheetFormatPr defaultColWidth="11.25" defaultRowHeight="15.7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c r="A1" s="43" t="s">
        <v>0</v>
      </c>
      <c r="B1" s="43"/>
      <c r="C1" s="43"/>
      <c r="D1" s="43"/>
      <c r="E1" s="43"/>
      <c r="F1" s="13"/>
      <c r="G1" s="13"/>
      <c r="H1" s="13"/>
      <c r="I1" s="13"/>
      <c r="J1" s="13"/>
      <c r="K1" s="13"/>
      <c r="L1" s="13"/>
      <c r="M1" s="13"/>
      <c r="N1" s="13"/>
      <c r="O1" s="13"/>
      <c r="P1" s="13"/>
      <c r="Q1" s="13"/>
      <c r="R1" s="13"/>
      <c r="S1" s="13"/>
      <c r="T1" s="13"/>
      <c r="U1" s="13"/>
      <c r="V1" s="13"/>
      <c r="W1" s="13"/>
      <c r="X1" s="13"/>
      <c r="Y1" s="13"/>
      <c r="Z1" s="13"/>
    </row>
    <row r="2" spans="1:26" ht="27.75" customHeight="1">
      <c r="A2" s="14" t="s">
        <v>1</v>
      </c>
      <c r="B2" s="46" t="s">
        <v>2</v>
      </c>
      <c r="C2" s="46"/>
      <c r="D2" s="46"/>
      <c r="E2" s="46"/>
      <c r="F2" s="13"/>
      <c r="G2" s="13"/>
      <c r="H2" s="13"/>
      <c r="I2" s="13"/>
      <c r="J2" s="13"/>
      <c r="K2" s="13"/>
      <c r="L2" s="13"/>
      <c r="M2" s="13"/>
      <c r="N2" s="13"/>
      <c r="O2" s="13"/>
      <c r="P2" s="13"/>
      <c r="Q2" s="13"/>
      <c r="R2" s="13"/>
      <c r="S2" s="13"/>
      <c r="T2" s="13"/>
      <c r="U2" s="13"/>
      <c r="V2" s="13"/>
      <c r="W2" s="13"/>
      <c r="X2" s="13"/>
      <c r="Y2" s="13"/>
      <c r="Z2" s="13"/>
    </row>
    <row r="3" spans="1:26" ht="27.75" customHeight="1">
      <c r="A3" s="14" t="s">
        <v>3</v>
      </c>
      <c r="B3" s="40" t="s">
        <v>78</v>
      </c>
      <c r="C3" s="40"/>
      <c r="D3" s="40"/>
      <c r="E3" s="40"/>
      <c r="F3" s="13"/>
      <c r="G3" s="13"/>
      <c r="H3" s="13"/>
      <c r="I3" s="13"/>
      <c r="J3" s="13"/>
      <c r="K3" s="13"/>
      <c r="L3" s="13"/>
      <c r="M3" s="13"/>
      <c r="N3" s="13"/>
      <c r="O3" s="13"/>
      <c r="P3" s="13"/>
      <c r="Q3" s="13"/>
      <c r="R3" s="13"/>
      <c r="S3" s="13"/>
      <c r="T3" s="13"/>
      <c r="U3" s="13"/>
      <c r="V3" s="13"/>
      <c r="W3" s="13"/>
      <c r="X3" s="13"/>
      <c r="Y3" s="13"/>
      <c r="Z3" s="13"/>
    </row>
    <row r="4" spans="1:26" ht="27.75" customHeight="1">
      <c r="A4" s="14" t="s">
        <v>5</v>
      </c>
      <c r="B4" s="45" t="s">
        <v>79</v>
      </c>
      <c r="C4" s="45"/>
      <c r="D4" s="45"/>
      <c r="E4" s="45"/>
      <c r="F4" s="13"/>
      <c r="G4" s="13"/>
      <c r="H4" s="13"/>
      <c r="I4" s="13"/>
      <c r="J4" s="13"/>
      <c r="K4" s="13"/>
      <c r="L4" s="13"/>
      <c r="M4" s="13"/>
      <c r="N4" s="13"/>
      <c r="O4" s="13"/>
      <c r="P4" s="13"/>
      <c r="Q4" s="13"/>
      <c r="R4" s="13"/>
      <c r="S4" s="13"/>
      <c r="T4" s="13"/>
      <c r="U4" s="13"/>
      <c r="V4" s="13"/>
      <c r="W4" s="13"/>
      <c r="X4" s="13"/>
      <c r="Y4" s="13"/>
      <c r="Z4" s="13"/>
    </row>
    <row r="5" spans="1:26" ht="42" customHeight="1">
      <c r="A5" s="16" t="s">
        <v>7</v>
      </c>
      <c r="B5" s="17" t="s">
        <v>8</v>
      </c>
      <c r="C5" s="17" t="s">
        <v>9</v>
      </c>
      <c r="D5" s="17" t="s">
        <v>10</v>
      </c>
      <c r="E5" s="17" t="s">
        <v>11</v>
      </c>
      <c r="F5" s="13"/>
      <c r="G5" s="13"/>
      <c r="H5" s="13"/>
      <c r="I5" s="13"/>
      <c r="J5" s="13"/>
      <c r="K5" s="13"/>
      <c r="L5" s="13"/>
      <c r="M5" s="13"/>
      <c r="N5" s="13"/>
      <c r="O5" s="13"/>
      <c r="P5" s="13"/>
      <c r="Q5" s="13"/>
      <c r="R5" s="13"/>
      <c r="S5" s="13"/>
      <c r="T5" s="13"/>
      <c r="U5" s="13"/>
      <c r="V5" s="13"/>
      <c r="W5" s="13"/>
      <c r="X5" s="13"/>
      <c r="Y5" s="13"/>
      <c r="Z5" s="13"/>
    </row>
    <row r="6" spans="1:26" ht="61.5">
      <c r="A6" s="18">
        <v>1</v>
      </c>
      <c r="B6" s="15" t="s">
        <v>12</v>
      </c>
      <c r="C6" s="19" t="s">
        <v>13</v>
      </c>
      <c r="D6" s="19" t="s">
        <v>80</v>
      </c>
      <c r="E6" s="19" t="s">
        <v>81</v>
      </c>
      <c r="F6" s="20"/>
      <c r="G6" s="20"/>
      <c r="H6" s="20"/>
      <c r="I6" s="20"/>
      <c r="J6" s="20"/>
      <c r="K6" s="20"/>
      <c r="L6" s="20"/>
      <c r="M6" s="20"/>
      <c r="N6" s="20"/>
      <c r="O6" s="20"/>
      <c r="P6" s="20"/>
      <c r="Q6" s="20"/>
      <c r="R6" s="20"/>
      <c r="S6" s="20"/>
      <c r="T6" s="20"/>
      <c r="U6" s="20"/>
      <c r="V6" s="20"/>
      <c r="W6" s="20"/>
      <c r="X6" s="20"/>
      <c r="Y6" s="20"/>
      <c r="Z6" s="20"/>
    </row>
    <row r="7" spans="1:26" ht="61.5">
      <c r="A7" s="18">
        <v>2</v>
      </c>
      <c r="B7" s="15" t="s">
        <v>14</v>
      </c>
      <c r="C7" s="19" t="s">
        <v>15</v>
      </c>
      <c r="D7" s="19" t="s">
        <v>82</v>
      </c>
      <c r="E7" s="19" t="s">
        <v>83</v>
      </c>
      <c r="F7" s="20"/>
      <c r="G7" s="20"/>
      <c r="H7" s="20"/>
      <c r="I7" s="20"/>
      <c r="J7" s="20"/>
      <c r="K7" s="20"/>
      <c r="L7" s="20"/>
      <c r="M7" s="20"/>
      <c r="N7" s="20"/>
      <c r="O7" s="20"/>
      <c r="P7" s="20"/>
      <c r="Q7" s="20"/>
      <c r="R7" s="20"/>
      <c r="S7" s="20"/>
      <c r="T7" s="20"/>
      <c r="U7" s="20"/>
      <c r="V7" s="20"/>
      <c r="W7" s="20"/>
      <c r="X7" s="20"/>
      <c r="Y7" s="20"/>
      <c r="Z7" s="20"/>
    </row>
    <row r="8" spans="1:26" ht="61.5">
      <c r="A8" s="18">
        <v>3</v>
      </c>
      <c r="B8" s="15" t="s">
        <v>16</v>
      </c>
      <c r="C8" s="19" t="s">
        <v>17</v>
      </c>
      <c r="D8" s="19" t="s">
        <v>82</v>
      </c>
      <c r="E8" s="19" t="s">
        <v>83</v>
      </c>
      <c r="F8" s="20"/>
      <c r="G8" s="20"/>
      <c r="H8" s="20"/>
      <c r="I8" s="20"/>
      <c r="J8" s="20"/>
      <c r="K8" s="20"/>
      <c r="L8" s="20"/>
      <c r="M8" s="20"/>
      <c r="N8" s="20"/>
      <c r="O8" s="20"/>
      <c r="P8" s="20"/>
      <c r="Q8" s="20"/>
      <c r="R8" s="20"/>
      <c r="S8" s="20"/>
      <c r="T8" s="20"/>
      <c r="U8" s="20"/>
      <c r="V8" s="20"/>
      <c r="W8" s="20"/>
      <c r="X8" s="20"/>
      <c r="Y8" s="20"/>
      <c r="Z8" s="20"/>
    </row>
    <row r="9" spans="1:26" ht="45.75">
      <c r="A9" s="18">
        <v>4</v>
      </c>
      <c r="B9" s="15" t="s">
        <v>18</v>
      </c>
      <c r="C9" s="19" t="s">
        <v>19</v>
      </c>
      <c r="D9" s="19" t="s">
        <v>82</v>
      </c>
      <c r="E9" s="19" t="s">
        <v>83</v>
      </c>
      <c r="F9" s="20"/>
      <c r="G9" s="20"/>
      <c r="H9" s="20"/>
      <c r="I9" s="20"/>
      <c r="J9" s="20"/>
      <c r="K9" s="20"/>
      <c r="L9" s="20"/>
      <c r="M9" s="20"/>
      <c r="N9" s="20"/>
      <c r="O9" s="20"/>
      <c r="P9" s="20"/>
      <c r="Q9" s="20"/>
      <c r="R9" s="20"/>
      <c r="S9" s="20"/>
      <c r="T9" s="20"/>
      <c r="U9" s="20"/>
      <c r="V9" s="20"/>
      <c r="W9" s="20"/>
      <c r="X9" s="20"/>
      <c r="Y9" s="20"/>
      <c r="Z9" s="20"/>
    </row>
    <row r="10" spans="1:26" ht="61.5">
      <c r="A10" s="18">
        <v>5</v>
      </c>
      <c r="B10" s="15" t="s">
        <v>20</v>
      </c>
      <c r="C10" s="19" t="s">
        <v>21</v>
      </c>
      <c r="D10" s="19" t="s">
        <v>84</v>
      </c>
      <c r="E10" s="19" t="s">
        <v>85</v>
      </c>
      <c r="F10" s="20"/>
      <c r="G10" s="20"/>
      <c r="H10" s="20"/>
      <c r="I10" s="20"/>
      <c r="J10" s="20"/>
      <c r="K10" s="20"/>
      <c r="L10" s="20"/>
      <c r="M10" s="20"/>
      <c r="N10" s="20"/>
      <c r="O10" s="20"/>
      <c r="P10" s="20"/>
      <c r="Q10" s="20"/>
      <c r="R10" s="20"/>
      <c r="S10" s="20"/>
      <c r="T10" s="20"/>
      <c r="U10" s="20"/>
      <c r="V10" s="20"/>
      <c r="W10" s="20"/>
      <c r="X10" s="20"/>
      <c r="Y10" s="20"/>
      <c r="Z10" s="20"/>
    </row>
    <row r="11" spans="1:26" ht="61.5">
      <c r="A11" s="18">
        <v>6</v>
      </c>
      <c r="B11" s="15" t="s">
        <v>22</v>
      </c>
      <c r="C11" s="19" t="s">
        <v>23</v>
      </c>
      <c r="D11" s="31" t="s">
        <v>82</v>
      </c>
      <c r="E11" s="32" t="s">
        <v>83</v>
      </c>
      <c r="F11" s="20"/>
      <c r="G11" s="20"/>
      <c r="H11" s="20"/>
      <c r="I11" s="20"/>
      <c r="J11" s="20"/>
      <c r="K11" s="20"/>
      <c r="L11" s="20"/>
      <c r="M11" s="20"/>
      <c r="N11" s="20"/>
      <c r="O11" s="20"/>
      <c r="P11" s="20"/>
      <c r="Q11" s="20"/>
      <c r="R11" s="20"/>
      <c r="S11" s="20"/>
      <c r="T11" s="20"/>
      <c r="U11" s="20"/>
      <c r="V11" s="20"/>
      <c r="W11" s="20"/>
      <c r="X11" s="20"/>
      <c r="Y11" s="20"/>
      <c r="Z11" s="20"/>
    </row>
    <row r="12" spans="1:26" ht="61.5">
      <c r="A12" s="18">
        <v>7</v>
      </c>
      <c r="B12" s="15" t="s">
        <v>24</v>
      </c>
      <c r="C12" s="19" t="s">
        <v>25</v>
      </c>
      <c r="D12" s="31" t="s">
        <v>82</v>
      </c>
      <c r="E12" s="34" t="s">
        <v>83</v>
      </c>
      <c r="F12" s="20"/>
      <c r="G12" s="20"/>
      <c r="H12" s="20"/>
      <c r="I12" s="20"/>
      <c r="J12" s="20"/>
      <c r="K12" s="20"/>
      <c r="L12" s="20"/>
      <c r="M12" s="20"/>
      <c r="N12" s="20"/>
      <c r="O12" s="20"/>
      <c r="P12" s="20"/>
      <c r="Q12" s="20"/>
      <c r="R12" s="20"/>
      <c r="S12" s="20"/>
      <c r="T12" s="20"/>
      <c r="U12" s="20"/>
      <c r="V12" s="20"/>
      <c r="W12" s="20"/>
      <c r="X12" s="20"/>
      <c r="Y12" s="20"/>
      <c r="Z12" s="20"/>
    </row>
    <row r="13" spans="1:26" ht="61.5">
      <c r="A13" s="18">
        <v>8</v>
      </c>
      <c r="B13" s="15" t="s">
        <v>26</v>
      </c>
      <c r="C13" s="19" t="s">
        <v>27</v>
      </c>
      <c r="D13" s="31" t="s">
        <v>82</v>
      </c>
      <c r="E13" s="34" t="s">
        <v>83</v>
      </c>
      <c r="F13" s="20"/>
      <c r="G13" s="20"/>
      <c r="H13" s="20"/>
      <c r="I13" s="20"/>
      <c r="J13" s="20"/>
      <c r="K13" s="20"/>
      <c r="L13" s="20"/>
      <c r="M13" s="20"/>
      <c r="N13" s="20"/>
      <c r="O13" s="20"/>
      <c r="P13" s="20"/>
      <c r="Q13" s="20"/>
      <c r="R13" s="20"/>
      <c r="S13" s="20"/>
      <c r="T13" s="20"/>
      <c r="U13" s="20"/>
      <c r="V13" s="20"/>
      <c r="W13" s="20"/>
      <c r="X13" s="20"/>
      <c r="Y13" s="20"/>
      <c r="Z13" s="20"/>
    </row>
    <row r="14" spans="1:26" ht="45.75">
      <c r="A14" s="18">
        <v>9</v>
      </c>
      <c r="B14" s="15" t="s">
        <v>28</v>
      </c>
      <c r="C14" s="19" t="s">
        <v>29</v>
      </c>
      <c r="D14" s="33" t="s">
        <v>86</v>
      </c>
      <c r="E14" s="33" t="s">
        <v>87</v>
      </c>
      <c r="F14" s="20"/>
      <c r="G14" s="20"/>
      <c r="H14" s="20"/>
      <c r="I14" s="20"/>
      <c r="J14" s="20"/>
      <c r="K14" s="20"/>
      <c r="L14" s="20"/>
      <c r="M14" s="20"/>
      <c r="N14" s="20"/>
      <c r="O14" s="20"/>
      <c r="P14" s="20"/>
      <c r="Q14" s="20"/>
      <c r="R14" s="20"/>
      <c r="S14" s="20"/>
      <c r="T14" s="20"/>
      <c r="U14" s="20"/>
      <c r="V14" s="20"/>
      <c r="W14" s="20"/>
      <c r="X14" s="20"/>
      <c r="Y14" s="20"/>
      <c r="Z14" s="20"/>
    </row>
    <row r="15" spans="1:26" ht="61.5">
      <c r="A15" s="22">
        <v>10</v>
      </c>
      <c r="B15" s="23" t="s">
        <v>30</v>
      </c>
      <c r="C15" s="24" t="s">
        <v>31</v>
      </c>
      <c r="D15" s="33" t="s">
        <v>88</v>
      </c>
      <c r="E15" s="24" t="s">
        <v>89</v>
      </c>
      <c r="F15" s="20"/>
      <c r="G15" s="20"/>
      <c r="H15" s="20"/>
      <c r="I15" s="20"/>
      <c r="J15" s="20"/>
      <c r="K15" s="20"/>
      <c r="L15" s="20"/>
      <c r="M15" s="20"/>
      <c r="N15" s="20"/>
      <c r="O15" s="20"/>
      <c r="P15" s="20"/>
      <c r="Q15" s="20"/>
      <c r="R15" s="20"/>
      <c r="S15" s="20"/>
      <c r="T15" s="20"/>
      <c r="U15" s="20"/>
      <c r="V15" s="20"/>
      <c r="W15" s="20"/>
      <c r="X15" s="20"/>
      <c r="Y15" s="20"/>
      <c r="Z15" s="20"/>
    </row>
    <row r="16" spans="1:26" ht="70.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42" customHeight="1">
      <c r="A17" s="15" t="s">
        <v>32</v>
      </c>
      <c r="B17" s="19" t="s">
        <v>33</v>
      </c>
      <c r="C17" s="19"/>
      <c r="D17" s="19"/>
      <c r="E17" s="20"/>
      <c r="F17" s="20"/>
      <c r="G17" s="20"/>
      <c r="H17" s="20"/>
      <c r="I17" s="20"/>
      <c r="J17" s="20"/>
      <c r="K17" s="20"/>
      <c r="L17" s="20"/>
      <c r="M17" s="20"/>
      <c r="N17" s="20"/>
      <c r="O17" s="20"/>
      <c r="P17" s="20"/>
      <c r="Q17" s="20"/>
      <c r="R17" s="20"/>
      <c r="S17" s="20"/>
      <c r="T17" s="20"/>
      <c r="U17" s="20"/>
      <c r="V17" s="20"/>
      <c r="W17" s="20"/>
      <c r="X17" s="20"/>
      <c r="Y17" s="20"/>
      <c r="Z17" s="20"/>
    </row>
    <row r="18" spans="1:26" ht="42" customHeight="1">
      <c r="A18" s="19"/>
      <c r="B18" s="25" t="s">
        <v>34</v>
      </c>
      <c r="C18" s="19"/>
      <c r="D18" s="19"/>
      <c r="E18" s="20"/>
      <c r="F18" s="20"/>
      <c r="G18" s="20"/>
      <c r="H18" s="20"/>
      <c r="I18" s="20"/>
      <c r="J18" s="20"/>
      <c r="K18" s="20"/>
      <c r="L18" s="20"/>
      <c r="M18" s="20"/>
      <c r="N18" s="20"/>
      <c r="O18" s="20"/>
      <c r="P18" s="20"/>
      <c r="Q18" s="20"/>
      <c r="R18" s="20"/>
      <c r="S18" s="20"/>
      <c r="T18" s="20"/>
      <c r="U18" s="20"/>
      <c r="V18" s="20"/>
      <c r="W18" s="20"/>
      <c r="X18" s="20"/>
      <c r="Y18" s="20"/>
      <c r="Z18" s="20"/>
    </row>
    <row r="19" spans="1:26" ht="56.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56.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56.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56.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56.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56.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56.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56.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56.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56.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56.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56.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56.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56.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56.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56.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56.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56.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56.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56.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56.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56.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56.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56.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56.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56.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56.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56.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56.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56.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56.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56.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56.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56.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56.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56.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56.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56.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56.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56.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56.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56.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56.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56.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56.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56.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56.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56.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56.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56.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56.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56.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56.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56.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56.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56.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56.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56.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56.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56.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56.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56.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56.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56.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56.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56.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56.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56.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56.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56.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56.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56.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56.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56.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56.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56.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56.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56.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56.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56.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56.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56.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56.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56.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56.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56.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56.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56.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56.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56.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56.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56.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56.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56.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56.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56.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56.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56.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56.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56.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56.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56.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56.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56.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56.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56.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56.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56.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56.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56.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56.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56.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56.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56.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56.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56.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56.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56.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56.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56.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56.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56.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56.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56.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56.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56.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56.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56.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56.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56.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56.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56.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56.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56.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56.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56.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56.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56.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56.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56.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56.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56.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56.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56.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56.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56.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56.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56.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56.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56.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56.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56.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56.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56.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56.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56.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56.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56.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56.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56.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56.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56.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56.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56.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56.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56.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56.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56.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56.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56.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56.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56.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56.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56.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56.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56.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56.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56.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56.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56.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56.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56.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56.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56.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56.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56.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56.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56.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56.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56.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56.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56.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56.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56.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56.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56.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56.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56.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56.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56.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56.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56.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56.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56.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56.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56.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56.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56.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56.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56.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56.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56.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56.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56.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56.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56.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56.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56.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56.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56.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56.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56.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56.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56.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56.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56.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56.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56.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56.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56.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56.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56.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56.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56.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56.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56.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56.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56.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56.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56.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56.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56.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56.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56.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56.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56.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56.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56.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56.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56.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56.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56.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56.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56.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56.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56.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56.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56.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56.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56.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56.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56.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56.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56.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56.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56.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56.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56.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56.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56.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56.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56.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56.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56.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56.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56.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56.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56.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56.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56.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56.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56.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56.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56.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56.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56.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56.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56.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56.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56.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56.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56.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56.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56.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56.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56.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56.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56.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56.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56.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56.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56.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56.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56.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56.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56.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56.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56.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56.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56.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56.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56.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56.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56.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56.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56.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56.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56.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56.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56.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56.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56.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56.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56.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56.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56.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56.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56.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56.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56.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56.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56.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56.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56.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56.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56.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56.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56.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56.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56.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56.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56.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56.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56.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56.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56.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56.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56.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56.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56.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56.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56.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56.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56.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56.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56.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56.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56.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56.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56.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56.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56.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56.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56.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56.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56.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56.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56.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56.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56.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56.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56.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56.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56.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56.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56.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56.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56.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56.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56.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56.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56.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56.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56.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56.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56.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56.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56.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56.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56.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56.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56.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56.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56.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56.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56.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56.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56.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56.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56.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56.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56.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56.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56.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56.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56.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56.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56.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56.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56.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56.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56.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56.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56.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56.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56.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56.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56.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56.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56.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56.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56.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56.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56.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56.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56.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56.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56.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56.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56.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56.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56.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56.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56.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56.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56.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56.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56.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56.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56.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56.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56.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56.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56.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56.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56.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56.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56.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56.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56.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56.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56.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56.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56.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56.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56.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56.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56.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56.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56.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56.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56.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56.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56.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56.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56.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56.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56.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56.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56.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56.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56.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56.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56.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56.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56.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56.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56.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56.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56.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56.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56.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56.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56.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56.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56.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56.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56.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56.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56.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56.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56.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56.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56.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56.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56.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56.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56.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56.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56.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56.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56.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56.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56.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56.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56.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56.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56.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56.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56.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56.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56.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56.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56.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56.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56.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56.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56.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56.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56.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56.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56.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56.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56.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56.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56.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56.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56.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56.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56.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56.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56.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56.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56.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56.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56.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56.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56.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56.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56.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56.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56.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56.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56.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56.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56.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56.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56.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56.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56.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56.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56.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56.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56.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56.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56.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56.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56.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56.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56.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56.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56.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56.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56.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56.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56.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56.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56.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56.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56.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56.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56.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56.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56.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56.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56.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56.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56.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56.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56.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56.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56.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56.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56.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56.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56.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56.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56.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56.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56.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56.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56.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56.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56.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56.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56.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56.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56.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56.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56.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56.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56.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56.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56.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56.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56.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56.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56.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56.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56.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56.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56.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56.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56.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56.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56.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56.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56.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56.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56.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56.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56.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56.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56.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56.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56.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56.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56.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56.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56.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56.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56.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56.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56.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56.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56.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56.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56.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56.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56.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56.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56.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56.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56.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56.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56.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56.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56.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56.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56.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56.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56.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56.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56.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56.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56.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56.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56.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56.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56.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56.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56.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56.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56.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56.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56.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56.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56.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56.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56.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56.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56.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56.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56.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56.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56.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56.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56.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56.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56.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56.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56.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56.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56.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56.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56.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56.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56.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56.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56.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56.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56.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56.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56.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56.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56.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56.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56.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56.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56.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56.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56.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56.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56.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56.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56.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56.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56.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56.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56.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56.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56.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56.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56.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56.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56.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56.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56.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56.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56.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56.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56.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56.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56.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56.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56.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56.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56.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56.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56.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56.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56.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56.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56.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56.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56.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56.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56.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56.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56.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56.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56.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56.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56.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56.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56.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56.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56.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56.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56.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56.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56.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56.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56.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56.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56.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56.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56.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56.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56.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56.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56.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56.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56.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56.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56.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56.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56.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56.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56.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56.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56.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56.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56.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56.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56.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56.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56.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56.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56.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56.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56.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56.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56.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56.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56.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56.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56.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56.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56.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56.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56.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56.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56.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56.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56.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56.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56.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56.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56.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56.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56.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56.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56.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56.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56.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56.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56.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56.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56.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56.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56.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56.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56.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56.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56.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56.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56.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56.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56.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56.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56.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56.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56.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56.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56.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56.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56.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56.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56.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56.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56.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56.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56.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56.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56.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56.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56.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56.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56.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56.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56.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56.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56.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56.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56.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56.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56.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56.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56.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56.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56.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56.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56.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56.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56.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56.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56.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56.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56.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56.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56.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56.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56.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56.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56.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56.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56.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56.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56.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56.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56.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56.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56.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56.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56.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56.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56.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56.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56.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56.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56.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56.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56.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56.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56.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56.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56.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56.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56.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56.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56.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56.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56.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56.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56.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56.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56.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56.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56.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56.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56.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56.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56.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56.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56.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56.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56.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56.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56.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56.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56.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56.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56.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56.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56.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56.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56.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56.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56.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56.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56.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56.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56.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56.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56.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56.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56.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56.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56.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56.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56.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56.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56.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56.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56.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56.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56.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56.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56.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56.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56.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56.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56.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56.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56.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56.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56.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56.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56.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56.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56.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56.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56.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56.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56.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56.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56.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56.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56.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56.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56.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56.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56.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56.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56.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56.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56.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56.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56.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56.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56.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56.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56.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56.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56.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56.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56.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56.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56.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56.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56.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
    <mergeCell ref="A1:E1"/>
    <mergeCell ref="B2:E2"/>
    <mergeCell ref="B3:E3"/>
    <mergeCell ref="B4:E4"/>
  </mergeCells>
  <hyperlinks>
    <hyperlink ref="B18" r:id="rId1" xr:uid="{C015FD87-E546-4FB4-BA95-7E6EAE22C37F}"/>
    <hyperlink ref="B3:E3" r:id="rId2" display="https://github.com/ICEI-PUC-Minas-PMV-SI/pmv-si-2026-1-pe3-t4-lumora/tree/main/src/aplicacao/perfil" xr:uid="{8D184C91-DE4E-4937-9A7B-761498C5DA83}"/>
  </hyperlinks>
  <pageMargins left="0.75" right="0.75" top="1" bottom="1"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74E9B-F675-4365-8008-80B384512E43}">
  <dimension ref="A1:Z1000"/>
  <sheetViews>
    <sheetView zoomScale="55" zoomScaleNormal="55" workbookViewId="0">
      <selection activeCell="A5" sqref="A5"/>
    </sheetView>
  </sheetViews>
  <sheetFormatPr defaultColWidth="11.25" defaultRowHeight="15.7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c r="A1" s="43" t="s">
        <v>0</v>
      </c>
      <c r="B1" s="43"/>
      <c r="C1" s="43"/>
      <c r="D1" s="43"/>
      <c r="E1" s="43"/>
      <c r="F1" s="13"/>
      <c r="G1" s="13"/>
      <c r="H1" s="13"/>
      <c r="I1" s="13"/>
      <c r="J1" s="13"/>
      <c r="K1" s="13"/>
      <c r="L1" s="13"/>
      <c r="M1" s="13"/>
      <c r="N1" s="13"/>
      <c r="O1" s="13"/>
      <c r="P1" s="13"/>
      <c r="Q1" s="13"/>
      <c r="R1" s="13"/>
      <c r="S1" s="13"/>
      <c r="T1" s="13"/>
      <c r="U1" s="13"/>
      <c r="V1" s="13"/>
      <c r="W1" s="13"/>
      <c r="X1" s="13"/>
      <c r="Y1" s="13"/>
      <c r="Z1" s="13"/>
    </row>
    <row r="2" spans="1:26" ht="27.75" customHeight="1">
      <c r="A2" s="14" t="s">
        <v>1</v>
      </c>
      <c r="B2" s="46" t="s">
        <v>90</v>
      </c>
      <c r="C2" s="46"/>
      <c r="D2" s="46"/>
      <c r="E2" s="46"/>
      <c r="F2" s="13"/>
      <c r="G2" s="13"/>
      <c r="H2" s="13"/>
      <c r="I2" s="13"/>
      <c r="J2" s="13"/>
      <c r="K2" s="13"/>
      <c r="L2" s="13"/>
      <c r="M2" s="13"/>
      <c r="N2" s="13"/>
      <c r="O2" s="13"/>
      <c r="P2" s="13"/>
      <c r="Q2" s="13"/>
      <c r="R2" s="13"/>
      <c r="S2" s="13"/>
      <c r="T2" s="13"/>
      <c r="U2" s="13"/>
      <c r="V2" s="13"/>
      <c r="W2" s="13"/>
      <c r="X2" s="13"/>
      <c r="Y2" s="13"/>
      <c r="Z2" s="13"/>
    </row>
    <row r="3" spans="1:26" ht="54" customHeight="1">
      <c r="A3" s="14" t="s">
        <v>3</v>
      </c>
      <c r="B3" s="40" t="s">
        <v>91</v>
      </c>
      <c r="C3" s="40"/>
      <c r="D3" s="40"/>
      <c r="E3" s="40"/>
      <c r="F3" s="13"/>
      <c r="G3" s="13"/>
      <c r="H3" s="13"/>
      <c r="I3" s="13"/>
      <c r="J3" s="13"/>
      <c r="K3" s="13"/>
      <c r="L3" s="13"/>
      <c r="M3" s="13"/>
      <c r="N3" s="13"/>
      <c r="O3" s="13"/>
      <c r="P3" s="13"/>
      <c r="Q3" s="13"/>
      <c r="R3" s="13"/>
      <c r="S3" s="13"/>
      <c r="T3" s="13"/>
      <c r="U3" s="13"/>
      <c r="V3" s="13"/>
      <c r="W3" s="13"/>
      <c r="X3" s="13"/>
      <c r="Y3" s="13"/>
      <c r="Z3" s="13"/>
    </row>
    <row r="4" spans="1:26" ht="61.5" customHeight="1">
      <c r="A4" s="14" t="s">
        <v>92</v>
      </c>
      <c r="B4" s="45" t="s">
        <v>93</v>
      </c>
      <c r="C4" s="45"/>
      <c r="D4" s="45"/>
      <c r="E4" s="45"/>
      <c r="F4" s="13"/>
      <c r="G4" s="13"/>
      <c r="H4" s="13"/>
      <c r="I4" s="13"/>
      <c r="J4" s="13"/>
      <c r="K4" s="13"/>
      <c r="L4" s="13"/>
      <c r="M4" s="13"/>
      <c r="N4" s="13"/>
      <c r="O4" s="13"/>
      <c r="P4" s="13"/>
      <c r="Q4" s="13"/>
      <c r="R4" s="13"/>
      <c r="S4" s="13"/>
      <c r="T4" s="13"/>
      <c r="U4" s="13"/>
      <c r="V4" s="13"/>
      <c r="W4" s="13"/>
      <c r="X4" s="13"/>
      <c r="Y4" s="13"/>
      <c r="Z4" s="13"/>
    </row>
    <row r="5" spans="1:26" ht="42" customHeight="1">
      <c r="A5" s="16" t="s">
        <v>7</v>
      </c>
      <c r="B5" s="17" t="s">
        <v>8</v>
      </c>
      <c r="C5" s="17" t="s">
        <v>9</v>
      </c>
      <c r="D5" s="17" t="s">
        <v>10</v>
      </c>
      <c r="E5" s="17" t="s">
        <v>11</v>
      </c>
      <c r="F5" s="13"/>
      <c r="G5" s="13"/>
      <c r="H5" s="13"/>
      <c r="I5" s="13"/>
      <c r="J5" s="13"/>
      <c r="K5" s="13"/>
      <c r="L5" s="13"/>
      <c r="M5" s="13"/>
      <c r="N5" s="13"/>
      <c r="O5" s="13"/>
      <c r="P5" s="13"/>
      <c r="Q5" s="13"/>
      <c r="R5" s="13"/>
      <c r="S5" s="13"/>
      <c r="T5" s="13"/>
      <c r="U5" s="13"/>
      <c r="V5" s="13"/>
      <c r="W5" s="13"/>
      <c r="X5" s="13"/>
      <c r="Y5" s="13"/>
      <c r="Z5" s="13"/>
    </row>
    <row r="6" spans="1:26" ht="45.75">
      <c r="A6" s="18">
        <v>1</v>
      </c>
      <c r="B6" s="15" t="s">
        <v>12</v>
      </c>
      <c r="C6" s="19" t="s">
        <v>13</v>
      </c>
      <c r="D6" s="19" t="s">
        <v>94</v>
      </c>
      <c r="E6" s="19" t="s">
        <v>95</v>
      </c>
      <c r="F6" s="20"/>
      <c r="G6" s="20"/>
      <c r="H6" s="20"/>
      <c r="I6" s="20"/>
      <c r="J6" s="20"/>
      <c r="K6" s="20"/>
      <c r="L6" s="20"/>
      <c r="M6" s="20"/>
      <c r="N6" s="20"/>
      <c r="O6" s="20"/>
      <c r="P6" s="20"/>
      <c r="Q6" s="20"/>
      <c r="R6" s="20"/>
      <c r="S6" s="20"/>
      <c r="T6" s="20"/>
      <c r="U6" s="20"/>
      <c r="V6" s="20"/>
      <c r="W6" s="20"/>
      <c r="X6" s="20"/>
      <c r="Y6" s="20"/>
      <c r="Z6" s="20"/>
    </row>
    <row r="7" spans="1:26" ht="76.5">
      <c r="A7" s="18">
        <v>2</v>
      </c>
      <c r="B7" s="15" t="s">
        <v>14</v>
      </c>
      <c r="C7" s="19" t="s">
        <v>15</v>
      </c>
      <c r="D7" s="19" t="s">
        <v>96</v>
      </c>
      <c r="E7" s="19" t="s">
        <v>95</v>
      </c>
      <c r="F7" s="20"/>
      <c r="G7" s="20"/>
      <c r="H7" s="20"/>
      <c r="I7" s="20"/>
      <c r="J7" s="20"/>
      <c r="K7" s="20"/>
      <c r="L7" s="20"/>
      <c r="M7" s="20"/>
      <c r="N7" s="20"/>
      <c r="O7" s="20"/>
      <c r="P7" s="20"/>
      <c r="Q7" s="20"/>
      <c r="R7" s="20"/>
      <c r="S7" s="20"/>
      <c r="T7" s="20"/>
      <c r="U7" s="20"/>
      <c r="V7" s="20"/>
      <c r="W7" s="20"/>
      <c r="X7" s="20"/>
      <c r="Y7" s="20"/>
      <c r="Z7" s="20"/>
    </row>
    <row r="8" spans="1:26" ht="76.5">
      <c r="A8" s="18">
        <v>3</v>
      </c>
      <c r="B8" s="15" t="s">
        <v>16</v>
      </c>
      <c r="C8" s="19" t="s">
        <v>17</v>
      </c>
      <c r="D8" s="19" t="s">
        <v>97</v>
      </c>
      <c r="E8" s="19" t="s">
        <v>95</v>
      </c>
      <c r="F8" s="20"/>
      <c r="G8" s="20"/>
      <c r="H8" s="20"/>
      <c r="I8" s="20"/>
      <c r="J8" s="20"/>
      <c r="K8" s="20"/>
      <c r="L8" s="20"/>
      <c r="M8" s="20"/>
      <c r="N8" s="20"/>
      <c r="O8" s="20"/>
      <c r="P8" s="20"/>
      <c r="Q8" s="20"/>
      <c r="R8" s="20"/>
      <c r="S8" s="20"/>
      <c r="T8" s="20"/>
      <c r="U8" s="20"/>
      <c r="V8" s="20"/>
      <c r="W8" s="20"/>
      <c r="X8" s="20"/>
      <c r="Y8" s="20"/>
      <c r="Z8" s="20"/>
    </row>
    <row r="9" spans="1:26" ht="107.25">
      <c r="A9" s="18">
        <v>4</v>
      </c>
      <c r="B9" s="15" t="s">
        <v>18</v>
      </c>
      <c r="C9" s="19" t="s">
        <v>19</v>
      </c>
      <c r="D9" s="19" t="s">
        <v>98</v>
      </c>
      <c r="E9" s="19" t="s">
        <v>99</v>
      </c>
      <c r="F9" s="20"/>
      <c r="G9" s="20"/>
      <c r="H9" s="20"/>
      <c r="I9" s="20"/>
      <c r="J9" s="20"/>
      <c r="K9" s="20"/>
      <c r="L9" s="20"/>
      <c r="M9" s="20"/>
      <c r="N9" s="20"/>
      <c r="O9" s="20"/>
      <c r="P9" s="20"/>
      <c r="Q9" s="20"/>
      <c r="R9" s="20"/>
      <c r="S9" s="20"/>
      <c r="T9" s="20"/>
      <c r="U9" s="20"/>
      <c r="V9" s="20"/>
      <c r="W9" s="20"/>
      <c r="X9" s="20"/>
      <c r="Y9" s="20"/>
      <c r="Z9" s="20"/>
    </row>
    <row r="10" spans="1:26" ht="76.5">
      <c r="A10" s="18">
        <v>5</v>
      </c>
      <c r="B10" s="15" t="s">
        <v>20</v>
      </c>
      <c r="C10" s="19" t="s">
        <v>21</v>
      </c>
      <c r="D10" s="19" t="s">
        <v>100</v>
      </c>
      <c r="E10" s="19" t="s">
        <v>95</v>
      </c>
      <c r="F10" s="20"/>
      <c r="G10" s="20"/>
      <c r="H10" s="20"/>
      <c r="I10" s="20"/>
      <c r="J10" s="20"/>
      <c r="K10" s="20"/>
      <c r="L10" s="20"/>
      <c r="M10" s="20"/>
      <c r="N10" s="20"/>
      <c r="O10" s="20"/>
      <c r="P10" s="20"/>
      <c r="Q10" s="20"/>
      <c r="R10" s="20"/>
      <c r="S10" s="20"/>
      <c r="T10" s="20"/>
      <c r="U10" s="20"/>
      <c r="V10" s="20"/>
      <c r="W10" s="20"/>
      <c r="X10" s="20"/>
      <c r="Y10" s="20"/>
      <c r="Z10" s="20"/>
    </row>
    <row r="11" spans="1:26" ht="91.5">
      <c r="A11" s="18">
        <v>6</v>
      </c>
      <c r="B11" s="15" t="s">
        <v>22</v>
      </c>
      <c r="C11" s="19" t="s">
        <v>23</v>
      </c>
      <c r="D11" s="21" t="s">
        <v>101</v>
      </c>
      <c r="E11" s="19" t="s">
        <v>95</v>
      </c>
      <c r="F11" s="20"/>
      <c r="G11" s="20"/>
      <c r="H11" s="20"/>
      <c r="I11" s="20"/>
      <c r="J11" s="20"/>
      <c r="K11" s="20"/>
      <c r="L11" s="20"/>
      <c r="M11" s="20"/>
      <c r="N11" s="20"/>
      <c r="O11" s="20"/>
      <c r="P11" s="20"/>
      <c r="Q11" s="20"/>
      <c r="R11" s="20"/>
      <c r="S11" s="20"/>
      <c r="T11" s="20"/>
      <c r="U11" s="20"/>
      <c r="V11" s="20"/>
      <c r="W11" s="20"/>
      <c r="X11" s="20"/>
      <c r="Y11" s="20"/>
      <c r="Z11" s="20"/>
    </row>
    <row r="12" spans="1:26" ht="107.25">
      <c r="A12" s="18">
        <v>7</v>
      </c>
      <c r="B12" s="15" t="s">
        <v>24</v>
      </c>
      <c r="C12" s="19" t="s">
        <v>25</v>
      </c>
      <c r="D12" s="19" t="s">
        <v>102</v>
      </c>
      <c r="E12" s="19" t="s">
        <v>103</v>
      </c>
      <c r="F12" s="20"/>
      <c r="G12" s="20"/>
      <c r="H12" s="20"/>
      <c r="I12" s="20"/>
      <c r="J12" s="20"/>
      <c r="K12" s="20"/>
      <c r="L12" s="20"/>
      <c r="M12" s="20"/>
      <c r="N12" s="20"/>
      <c r="O12" s="20"/>
      <c r="P12" s="20"/>
      <c r="Q12" s="20"/>
      <c r="R12" s="20"/>
      <c r="S12" s="20"/>
      <c r="T12" s="20"/>
      <c r="U12" s="20"/>
      <c r="V12" s="20"/>
      <c r="W12" s="20"/>
      <c r="X12" s="20"/>
      <c r="Y12" s="20"/>
      <c r="Z12" s="20"/>
    </row>
    <row r="13" spans="1:26" ht="76.5">
      <c r="A13" s="18">
        <v>8</v>
      </c>
      <c r="B13" s="15" t="s">
        <v>26</v>
      </c>
      <c r="C13" s="19" t="s">
        <v>27</v>
      </c>
      <c r="D13" s="21" t="s">
        <v>104</v>
      </c>
      <c r="E13" s="19" t="s">
        <v>95</v>
      </c>
      <c r="F13" s="20"/>
      <c r="G13" s="20"/>
      <c r="H13" s="20"/>
      <c r="I13" s="20"/>
      <c r="J13" s="20"/>
      <c r="K13" s="20"/>
      <c r="L13" s="20"/>
      <c r="M13" s="20"/>
      <c r="N13" s="20"/>
      <c r="O13" s="20"/>
      <c r="P13" s="20"/>
      <c r="Q13" s="20"/>
      <c r="R13" s="20"/>
      <c r="S13" s="20"/>
      <c r="T13" s="20"/>
      <c r="U13" s="20"/>
      <c r="V13" s="20"/>
      <c r="W13" s="20"/>
      <c r="X13" s="20"/>
      <c r="Y13" s="20"/>
      <c r="Z13" s="20"/>
    </row>
    <row r="14" spans="1:26" ht="91.5">
      <c r="A14" s="18">
        <v>9</v>
      </c>
      <c r="B14" s="15" t="s">
        <v>28</v>
      </c>
      <c r="C14" s="19" t="s">
        <v>29</v>
      </c>
      <c r="D14" s="21" t="s">
        <v>105</v>
      </c>
      <c r="E14" s="21" t="s">
        <v>95</v>
      </c>
      <c r="F14" s="20"/>
      <c r="G14" s="20"/>
      <c r="H14" s="20"/>
      <c r="I14" s="20"/>
      <c r="J14" s="20"/>
      <c r="K14" s="20"/>
      <c r="L14" s="20"/>
      <c r="M14" s="20"/>
      <c r="N14" s="20"/>
      <c r="O14" s="20"/>
      <c r="P14" s="20"/>
      <c r="Q14" s="20"/>
      <c r="R14" s="20"/>
      <c r="S14" s="20"/>
      <c r="T14" s="20"/>
      <c r="U14" s="20"/>
      <c r="V14" s="20"/>
      <c r="W14" s="20"/>
      <c r="X14" s="20"/>
      <c r="Y14" s="20"/>
      <c r="Z14" s="20"/>
    </row>
    <row r="15" spans="1:26" ht="91.5">
      <c r="A15" s="22">
        <v>10</v>
      </c>
      <c r="B15" s="23" t="s">
        <v>30</v>
      </c>
      <c r="C15" s="24" t="s">
        <v>31</v>
      </c>
      <c r="D15" s="24" t="s">
        <v>106</v>
      </c>
      <c r="E15" s="21" t="s">
        <v>95</v>
      </c>
      <c r="F15" s="20"/>
      <c r="G15" s="20"/>
      <c r="H15" s="20"/>
      <c r="I15" s="20"/>
      <c r="J15" s="20"/>
      <c r="K15" s="20"/>
      <c r="L15" s="20"/>
      <c r="M15" s="20"/>
      <c r="N15" s="20"/>
      <c r="O15" s="20"/>
      <c r="P15" s="20"/>
      <c r="Q15" s="20"/>
      <c r="R15" s="20"/>
      <c r="S15" s="20"/>
      <c r="T15" s="20"/>
      <c r="U15" s="20"/>
      <c r="V15" s="20"/>
      <c r="W15" s="20"/>
      <c r="X15" s="20"/>
      <c r="Y15" s="20"/>
      <c r="Z15" s="20"/>
    </row>
    <row r="16" spans="1:26" ht="70.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42" customHeight="1">
      <c r="A17" s="15" t="s">
        <v>32</v>
      </c>
      <c r="B17" s="19" t="s">
        <v>33</v>
      </c>
      <c r="C17" s="19"/>
      <c r="D17" s="19"/>
      <c r="E17" s="20"/>
      <c r="F17" s="20"/>
      <c r="G17" s="20"/>
      <c r="H17" s="20"/>
      <c r="I17" s="20"/>
      <c r="J17" s="20"/>
      <c r="K17" s="20"/>
      <c r="L17" s="20"/>
      <c r="M17" s="20"/>
      <c r="N17" s="20"/>
      <c r="O17" s="20"/>
      <c r="P17" s="20"/>
      <c r="Q17" s="20"/>
      <c r="R17" s="20"/>
      <c r="S17" s="20"/>
      <c r="T17" s="20"/>
      <c r="U17" s="20"/>
      <c r="V17" s="20"/>
      <c r="W17" s="20"/>
      <c r="X17" s="20"/>
      <c r="Y17" s="20"/>
      <c r="Z17" s="20"/>
    </row>
    <row r="18" spans="1:26" ht="42" customHeight="1">
      <c r="A18" s="19"/>
      <c r="B18" s="25" t="s">
        <v>34</v>
      </c>
      <c r="C18" s="19"/>
      <c r="D18" s="19"/>
      <c r="E18" s="20"/>
      <c r="F18" s="20"/>
      <c r="G18" s="20"/>
      <c r="H18" s="20"/>
      <c r="I18" s="20"/>
      <c r="J18" s="20"/>
      <c r="K18" s="20"/>
      <c r="L18" s="20"/>
      <c r="M18" s="20"/>
      <c r="N18" s="20"/>
      <c r="O18" s="20"/>
      <c r="P18" s="20"/>
      <c r="Q18" s="20"/>
      <c r="R18" s="20"/>
      <c r="S18" s="20"/>
      <c r="T18" s="20"/>
      <c r="U18" s="20"/>
      <c r="V18" s="20"/>
      <c r="W18" s="20"/>
      <c r="X18" s="20"/>
      <c r="Y18" s="20"/>
      <c r="Z18" s="20"/>
    </row>
    <row r="19" spans="1:26" ht="56.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56.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56.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56.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56.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56.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56.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56.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56.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56.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56.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56.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56.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56.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56.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56.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56.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56.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56.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56.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56.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56.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56.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56.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56.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56.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56.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56.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56.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56.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56.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56.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56.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56.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56.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56.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56.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56.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56.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56.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56.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56.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56.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56.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56.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56.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56.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56.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56.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56.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56.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56.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56.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56.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56.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56.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56.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56.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56.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56.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56.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56.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56.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56.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56.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56.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56.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56.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56.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56.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56.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56.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56.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56.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56.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56.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56.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56.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56.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56.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56.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56.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56.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56.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56.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56.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56.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56.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56.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56.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56.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56.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56.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56.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56.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56.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56.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56.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56.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56.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56.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56.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56.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56.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56.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56.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56.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56.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56.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56.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56.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56.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56.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56.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56.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56.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56.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56.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56.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56.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56.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56.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56.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56.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56.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56.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56.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56.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56.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56.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56.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56.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56.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56.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56.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56.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56.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56.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56.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56.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56.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56.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56.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56.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56.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56.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56.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56.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56.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56.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56.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56.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56.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56.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56.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56.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56.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56.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56.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56.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56.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56.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56.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56.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56.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56.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56.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56.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56.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56.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56.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56.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56.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56.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56.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56.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56.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56.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56.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56.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56.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56.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56.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56.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56.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56.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56.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56.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56.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56.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56.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56.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56.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56.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56.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56.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56.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56.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56.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56.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56.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56.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56.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56.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56.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56.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56.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56.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56.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56.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56.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56.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56.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56.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56.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56.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56.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56.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56.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56.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56.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56.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56.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56.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56.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56.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56.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56.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56.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56.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56.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56.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56.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56.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56.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56.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56.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56.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56.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56.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56.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56.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56.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56.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56.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56.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56.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56.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56.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56.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56.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56.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56.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56.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56.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56.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56.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56.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56.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56.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56.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56.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56.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56.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56.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56.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56.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56.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56.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56.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56.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56.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56.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56.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56.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56.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56.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56.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56.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56.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56.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56.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56.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56.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56.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56.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56.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56.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56.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56.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56.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56.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56.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56.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56.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56.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56.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56.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56.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56.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56.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56.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56.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56.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56.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56.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56.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56.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56.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56.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56.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56.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56.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56.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56.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56.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56.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56.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56.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56.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56.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56.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56.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56.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56.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56.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56.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56.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56.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56.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56.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56.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56.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56.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56.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56.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56.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56.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56.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56.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56.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56.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56.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56.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56.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56.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56.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56.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56.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56.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56.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56.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56.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56.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56.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56.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56.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56.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56.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56.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56.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56.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56.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56.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56.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56.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56.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56.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56.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56.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56.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56.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56.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56.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56.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56.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56.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56.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56.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56.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56.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56.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56.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56.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56.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56.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56.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56.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56.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56.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56.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56.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56.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56.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56.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56.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56.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56.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56.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56.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56.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56.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56.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56.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56.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56.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56.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56.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56.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56.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56.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56.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56.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56.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56.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56.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56.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56.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56.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56.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56.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56.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56.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56.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56.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56.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56.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56.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56.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56.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56.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56.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56.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56.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56.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56.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56.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56.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56.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56.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56.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56.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56.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56.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56.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56.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56.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56.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56.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56.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56.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56.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56.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56.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56.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56.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56.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56.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56.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56.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56.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56.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56.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56.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56.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56.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56.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56.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56.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56.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56.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56.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56.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56.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56.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56.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56.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56.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56.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56.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56.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56.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56.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56.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56.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56.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56.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56.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56.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56.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56.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56.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56.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56.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56.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56.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56.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56.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56.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56.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56.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56.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56.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56.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56.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56.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56.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56.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56.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56.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56.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56.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56.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56.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56.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56.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56.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56.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56.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56.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56.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56.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56.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56.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56.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56.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56.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56.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56.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56.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56.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56.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56.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56.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56.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56.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56.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56.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56.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56.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56.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56.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56.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56.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56.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56.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56.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56.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56.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56.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56.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56.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56.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56.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56.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56.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56.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56.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56.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56.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56.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56.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56.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56.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56.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56.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56.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56.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56.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56.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56.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56.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56.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56.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56.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56.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56.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56.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56.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56.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56.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56.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56.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56.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56.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56.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56.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56.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56.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56.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56.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56.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56.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56.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56.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56.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56.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56.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56.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56.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56.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56.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56.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56.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56.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56.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56.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56.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56.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56.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56.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56.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56.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56.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56.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56.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56.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56.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56.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56.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56.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56.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56.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56.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56.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56.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56.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56.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56.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56.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56.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56.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56.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56.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56.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56.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56.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56.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56.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56.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56.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56.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56.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56.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56.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56.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56.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56.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56.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56.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56.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56.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56.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56.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56.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56.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56.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56.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56.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56.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56.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56.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56.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56.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56.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56.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56.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56.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56.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56.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56.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56.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56.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56.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56.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56.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56.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56.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56.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56.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56.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56.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56.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56.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56.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56.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56.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56.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56.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56.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56.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56.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56.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56.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56.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56.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56.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56.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56.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56.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56.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56.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56.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56.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56.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56.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56.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56.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56.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56.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56.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56.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56.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56.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56.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56.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56.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56.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56.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56.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56.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56.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56.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56.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56.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56.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56.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56.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56.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56.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56.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56.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56.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56.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56.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56.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56.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56.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56.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56.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56.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56.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56.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56.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56.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56.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56.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56.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56.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56.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56.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56.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56.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56.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56.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56.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56.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56.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56.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56.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56.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56.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56.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56.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56.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56.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56.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56.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56.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56.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56.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56.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56.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56.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56.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56.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56.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56.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56.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56.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56.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56.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56.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56.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56.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56.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56.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56.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56.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56.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56.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56.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56.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56.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56.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56.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56.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56.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56.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56.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56.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56.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56.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56.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56.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56.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56.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56.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56.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56.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56.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56.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56.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56.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56.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56.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56.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56.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56.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56.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56.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56.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56.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56.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56.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56.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56.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56.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56.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56.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56.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56.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56.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56.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56.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56.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56.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56.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56.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56.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56.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56.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56.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56.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56.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56.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56.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56.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56.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56.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56.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56.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56.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56.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56.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56.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56.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56.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56.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56.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56.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56.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56.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56.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56.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56.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56.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56.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56.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56.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56.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56.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56.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56.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56.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56.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56.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56.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56.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56.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56.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56.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56.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56.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56.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56.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56.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56.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56.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56.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56.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56.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56.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56.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56.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56.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56.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56.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56.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56.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56.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56.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56.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56.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56.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56.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56.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56.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56.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56.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56.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56.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56.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56.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56.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56.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56.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56.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56.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56.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56.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56.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56.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56.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56.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56.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56.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56.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56.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56.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56.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56.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56.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56.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56.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56.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56.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56.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56.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56.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56.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56.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56.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56.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56.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56.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56.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56.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56.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56.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56.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56.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56.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56.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56.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56.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56.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56.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56.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56.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56.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56.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56.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56.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56.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56.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56.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56.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56.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56.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56.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56.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56.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56.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56.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56.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56.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56.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56.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56.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56.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56.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
    <mergeCell ref="A1:E1"/>
    <mergeCell ref="B2:E2"/>
    <mergeCell ref="B3:E3"/>
    <mergeCell ref="B4:E4"/>
  </mergeCells>
  <hyperlinks>
    <hyperlink ref="B18" r:id="rId1" xr:uid="{A7099B52-BF45-43D1-9D38-96F8AC903E6B}"/>
    <hyperlink ref="B3:E3" r:id="rId2" display="https://github.com/ICEI-PUC-Minas-PMV-SI/pmv-si-2026-1-pe3-t4-lumora/tree/55bab6ae1f43c5f7058ad9a66fe8e4b4e95b5959/docs/apresentacao" xr:uid="{2769B548-931B-47FA-B49A-CE3E0037DA84}"/>
  </hyperlinks>
  <pageMargins left="0.75" right="0.75" top="1" bottom="1"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48982-EA7E-439C-BF4C-361BD26C8035}">
  <dimension ref="A1:Z1000"/>
  <sheetViews>
    <sheetView topLeftCell="A2" zoomScale="55" zoomScaleNormal="55" workbookViewId="0">
      <selection activeCell="B4" sqref="B4:E4"/>
    </sheetView>
  </sheetViews>
  <sheetFormatPr defaultColWidth="11.25" defaultRowHeight="15.7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c r="A1" s="43" t="s">
        <v>0</v>
      </c>
      <c r="B1" s="43"/>
      <c r="C1" s="43"/>
      <c r="D1" s="43"/>
      <c r="E1" s="43"/>
      <c r="F1" s="13"/>
      <c r="G1" s="13"/>
      <c r="H1" s="13"/>
      <c r="I1" s="13"/>
      <c r="J1" s="13"/>
      <c r="K1" s="13"/>
      <c r="L1" s="13"/>
      <c r="M1" s="13"/>
      <c r="N1" s="13"/>
      <c r="O1" s="13"/>
      <c r="P1" s="13"/>
      <c r="Q1" s="13"/>
      <c r="R1" s="13"/>
      <c r="S1" s="13"/>
      <c r="T1" s="13"/>
      <c r="U1" s="13"/>
      <c r="V1" s="13"/>
      <c r="W1" s="13"/>
      <c r="X1" s="13"/>
      <c r="Y1" s="13"/>
      <c r="Z1" s="13"/>
    </row>
    <row r="2" spans="1:26" ht="27.75" customHeight="1">
      <c r="A2" s="14" t="s">
        <v>1</v>
      </c>
      <c r="B2" s="46" t="s">
        <v>2</v>
      </c>
      <c r="C2" s="46"/>
      <c r="D2" s="46"/>
      <c r="E2" s="46"/>
      <c r="F2" s="13"/>
      <c r="G2" s="13"/>
      <c r="H2" s="13"/>
      <c r="I2" s="13"/>
      <c r="J2" s="13"/>
      <c r="K2" s="13"/>
      <c r="L2" s="13"/>
      <c r="M2" s="13"/>
      <c r="N2" s="13"/>
      <c r="O2" s="13"/>
      <c r="P2" s="13"/>
      <c r="Q2" s="13"/>
      <c r="R2" s="13"/>
      <c r="S2" s="13"/>
      <c r="T2" s="13"/>
      <c r="U2" s="13"/>
      <c r="V2" s="13"/>
      <c r="W2" s="13"/>
      <c r="X2" s="13"/>
      <c r="Y2" s="13"/>
      <c r="Z2" s="13"/>
    </row>
    <row r="3" spans="1:26" ht="27.75" customHeight="1">
      <c r="A3" s="14" t="s">
        <v>3</v>
      </c>
      <c r="B3" s="44"/>
      <c r="C3" s="44"/>
      <c r="D3" s="44"/>
      <c r="E3" s="44"/>
      <c r="F3" s="13"/>
      <c r="G3" s="13"/>
      <c r="H3" s="13"/>
      <c r="I3" s="13"/>
      <c r="J3" s="13"/>
      <c r="K3" s="13"/>
      <c r="L3" s="13"/>
      <c r="M3" s="13"/>
      <c r="N3" s="13"/>
      <c r="O3" s="13"/>
      <c r="P3" s="13"/>
      <c r="Q3" s="13"/>
      <c r="R3" s="13"/>
      <c r="S3" s="13"/>
      <c r="T3" s="13"/>
      <c r="U3" s="13"/>
      <c r="V3" s="13"/>
      <c r="W3" s="13"/>
      <c r="X3" s="13"/>
      <c r="Y3" s="13"/>
      <c r="Z3" s="13"/>
    </row>
    <row r="4" spans="1:26" ht="27.75" customHeight="1">
      <c r="A4" s="14" t="s">
        <v>5</v>
      </c>
      <c r="B4" s="42" t="s">
        <v>107</v>
      </c>
      <c r="C4" s="45"/>
      <c r="D4" s="45"/>
      <c r="E4" s="45"/>
      <c r="F4" s="13"/>
      <c r="G4" s="13"/>
      <c r="H4" s="13"/>
      <c r="I4" s="13"/>
      <c r="J4" s="13"/>
      <c r="K4" s="13"/>
      <c r="L4" s="13"/>
      <c r="M4" s="13"/>
      <c r="N4" s="13"/>
      <c r="O4" s="13"/>
      <c r="P4" s="13"/>
      <c r="Q4" s="13"/>
      <c r="R4" s="13"/>
      <c r="S4" s="13"/>
      <c r="T4" s="13"/>
      <c r="U4" s="13"/>
      <c r="V4" s="13"/>
      <c r="W4" s="13"/>
      <c r="X4" s="13"/>
      <c r="Y4" s="13"/>
      <c r="Z4" s="13"/>
    </row>
    <row r="5" spans="1:26" ht="42" customHeight="1">
      <c r="A5" s="16" t="s">
        <v>7</v>
      </c>
      <c r="B5" s="17" t="s">
        <v>8</v>
      </c>
      <c r="C5" s="17" t="s">
        <v>9</v>
      </c>
      <c r="D5" s="17" t="s">
        <v>10</v>
      </c>
      <c r="E5" s="17" t="s">
        <v>11</v>
      </c>
      <c r="F5" s="13"/>
      <c r="G5" s="13"/>
      <c r="H5" s="13"/>
      <c r="I5" s="13"/>
      <c r="J5" s="13"/>
      <c r="K5" s="13"/>
      <c r="L5" s="13"/>
      <c r="M5" s="13"/>
      <c r="N5" s="13"/>
      <c r="O5" s="13"/>
      <c r="P5" s="13"/>
      <c r="Q5" s="13"/>
      <c r="R5" s="13"/>
      <c r="S5" s="13"/>
      <c r="T5" s="13"/>
      <c r="U5" s="13"/>
      <c r="V5" s="13"/>
      <c r="W5" s="13"/>
      <c r="X5" s="13"/>
      <c r="Y5" s="13"/>
      <c r="Z5" s="13"/>
    </row>
    <row r="6" spans="1:26" ht="76.5">
      <c r="A6" s="18">
        <v>1</v>
      </c>
      <c r="B6" s="15" t="s">
        <v>12</v>
      </c>
      <c r="C6" s="19" t="s">
        <v>13</v>
      </c>
      <c r="D6" s="19" t="s">
        <v>108</v>
      </c>
      <c r="E6" s="19" t="s">
        <v>109</v>
      </c>
      <c r="F6" s="20"/>
      <c r="G6" s="20"/>
      <c r="H6" s="20"/>
      <c r="I6" s="20"/>
      <c r="J6" s="20"/>
      <c r="K6" s="20"/>
      <c r="L6" s="20"/>
      <c r="M6" s="20"/>
      <c r="N6" s="20"/>
      <c r="O6" s="20"/>
      <c r="P6" s="20"/>
      <c r="Q6" s="20"/>
      <c r="R6" s="20"/>
      <c r="S6" s="20"/>
      <c r="T6" s="20"/>
      <c r="U6" s="20"/>
      <c r="V6" s="20"/>
      <c r="W6" s="20"/>
      <c r="X6" s="20"/>
      <c r="Y6" s="20"/>
      <c r="Z6" s="20"/>
    </row>
    <row r="7" spans="1:26" ht="61.5">
      <c r="A7" s="18">
        <v>2</v>
      </c>
      <c r="B7" s="15" t="s">
        <v>14</v>
      </c>
      <c r="C7" s="19" t="s">
        <v>15</v>
      </c>
      <c r="D7" s="19" t="s">
        <v>68</v>
      </c>
      <c r="E7" s="19" t="s">
        <v>110</v>
      </c>
      <c r="F7" s="20"/>
      <c r="G7" s="20"/>
      <c r="H7" s="20"/>
      <c r="I7" s="20"/>
      <c r="J7" s="20"/>
      <c r="K7" s="20"/>
      <c r="L7" s="20"/>
      <c r="M7" s="20"/>
      <c r="N7" s="20"/>
      <c r="O7" s="20"/>
      <c r="P7" s="20"/>
      <c r="Q7" s="20"/>
      <c r="R7" s="20"/>
      <c r="S7" s="20"/>
      <c r="T7" s="20"/>
      <c r="U7" s="20"/>
      <c r="V7" s="20"/>
      <c r="W7" s="20"/>
      <c r="X7" s="20"/>
      <c r="Y7" s="20"/>
      <c r="Z7" s="20"/>
    </row>
    <row r="8" spans="1:26" ht="61.5">
      <c r="A8" s="18">
        <v>3</v>
      </c>
      <c r="B8" s="15" t="s">
        <v>16</v>
      </c>
      <c r="C8" s="19" t="s">
        <v>17</v>
      </c>
      <c r="D8" s="19" t="s">
        <v>68</v>
      </c>
      <c r="E8" s="19" t="s">
        <v>111</v>
      </c>
      <c r="F8" s="20"/>
      <c r="G8" s="20"/>
      <c r="H8" s="20"/>
      <c r="I8" s="20"/>
      <c r="J8" s="20"/>
      <c r="K8" s="20"/>
      <c r="L8" s="20"/>
      <c r="M8" s="20"/>
      <c r="N8" s="20"/>
      <c r="O8" s="20"/>
      <c r="P8" s="20"/>
      <c r="Q8" s="20"/>
      <c r="R8" s="20"/>
      <c r="S8" s="20"/>
      <c r="T8" s="20"/>
      <c r="U8" s="20"/>
      <c r="V8" s="20"/>
      <c r="W8" s="20"/>
      <c r="X8" s="20"/>
      <c r="Y8" s="20"/>
      <c r="Z8" s="20"/>
    </row>
    <row r="9" spans="1:26" ht="45.75">
      <c r="A9" s="18">
        <v>4</v>
      </c>
      <c r="B9" s="15" t="s">
        <v>18</v>
      </c>
      <c r="C9" s="19" t="s">
        <v>19</v>
      </c>
      <c r="D9" s="19" t="s">
        <v>112</v>
      </c>
      <c r="E9" s="19" t="s">
        <v>113</v>
      </c>
      <c r="F9" s="20"/>
      <c r="G9" s="20"/>
      <c r="H9" s="20"/>
      <c r="I9" s="20"/>
      <c r="J9" s="20"/>
      <c r="K9" s="20"/>
      <c r="L9" s="20"/>
      <c r="M9" s="20"/>
      <c r="N9" s="20"/>
      <c r="O9" s="20"/>
      <c r="P9" s="20"/>
      <c r="Q9" s="20"/>
      <c r="R9" s="20"/>
      <c r="S9" s="20"/>
      <c r="T9" s="20"/>
      <c r="U9" s="20"/>
      <c r="V9" s="20"/>
      <c r="W9" s="20"/>
      <c r="X9" s="20"/>
      <c r="Y9" s="20"/>
      <c r="Z9" s="20"/>
    </row>
    <row r="10" spans="1:26" ht="61.5">
      <c r="A10" s="18">
        <v>5</v>
      </c>
      <c r="B10" s="15" t="s">
        <v>20</v>
      </c>
      <c r="C10" s="19" t="s">
        <v>21</v>
      </c>
      <c r="D10" s="19" t="s">
        <v>114</v>
      </c>
      <c r="E10" s="19" t="s">
        <v>115</v>
      </c>
      <c r="F10" s="20"/>
      <c r="G10" s="20"/>
      <c r="H10" s="20"/>
      <c r="I10" s="20"/>
      <c r="J10" s="20"/>
      <c r="K10" s="20"/>
      <c r="L10" s="20"/>
      <c r="M10" s="20"/>
      <c r="N10" s="20"/>
      <c r="O10" s="20"/>
      <c r="P10" s="20"/>
      <c r="Q10" s="20"/>
      <c r="R10" s="20"/>
      <c r="S10" s="20"/>
      <c r="T10" s="20"/>
      <c r="U10" s="20"/>
      <c r="V10" s="20"/>
      <c r="W10" s="20"/>
      <c r="X10" s="20"/>
      <c r="Y10" s="20"/>
      <c r="Z10" s="20"/>
    </row>
    <row r="11" spans="1:26" ht="61.5">
      <c r="A11" s="18">
        <v>6</v>
      </c>
      <c r="B11" s="15" t="s">
        <v>22</v>
      </c>
      <c r="C11" s="19" t="s">
        <v>23</v>
      </c>
      <c r="D11" s="19" t="s">
        <v>68</v>
      </c>
      <c r="E11" s="19" t="s">
        <v>116</v>
      </c>
      <c r="F11" s="20"/>
      <c r="G11" s="20"/>
      <c r="H11" s="20"/>
      <c r="I11" s="20"/>
      <c r="J11" s="20"/>
      <c r="K11" s="20"/>
      <c r="L11" s="20"/>
      <c r="M11" s="20"/>
      <c r="N11" s="20"/>
      <c r="O11" s="20"/>
      <c r="P11" s="20"/>
      <c r="Q11" s="20"/>
      <c r="R11" s="20"/>
      <c r="S11" s="20"/>
      <c r="T11" s="20"/>
      <c r="U11" s="20"/>
      <c r="V11" s="20"/>
      <c r="W11" s="20"/>
      <c r="X11" s="20"/>
      <c r="Y11" s="20"/>
      <c r="Z11" s="20"/>
    </row>
    <row r="12" spans="1:26" ht="61.5">
      <c r="A12" s="18">
        <v>7</v>
      </c>
      <c r="B12" s="15" t="s">
        <v>24</v>
      </c>
      <c r="C12" s="19" t="s">
        <v>25</v>
      </c>
      <c r="D12" s="19" t="s">
        <v>117</v>
      </c>
      <c r="E12" s="19" t="s">
        <v>118</v>
      </c>
      <c r="F12" s="20"/>
      <c r="G12" s="20"/>
      <c r="H12" s="20"/>
      <c r="I12" s="20"/>
      <c r="J12" s="20"/>
      <c r="K12" s="20"/>
      <c r="L12" s="20"/>
      <c r="M12" s="20"/>
      <c r="N12" s="20"/>
      <c r="O12" s="20"/>
      <c r="P12" s="20"/>
      <c r="Q12" s="20"/>
      <c r="R12" s="20"/>
      <c r="S12" s="20"/>
      <c r="T12" s="20"/>
      <c r="U12" s="20"/>
      <c r="V12" s="20"/>
      <c r="W12" s="20"/>
      <c r="X12" s="20"/>
      <c r="Y12" s="20"/>
      <c r="Z12" s="20"/>
    </row>
    <row r="13" spans="1:26" ht="61.5">
      <c r="A13" s="18">
        <v>8</v>
      </c>
      <c r="B13" s="15" t="s">
        <v>26</v>
      </c>
      <c r="C13" s="19" t="s">
        <v>27</v>
      </c>
      <c r="D13" s="19" t="s">
        <v>68</v>
      </c>
      <c r="E13" s="19" t="s">
        <v>119</v>
      </c>
      <c r="F13" s="20"/>
      <c r="G13" s="20"/>
      <c r="H13" s="20"/>
      <c r="I13" s="20"/>
      <c r="J13" s="20"/>
      <c r="K13" s="20"/>
      <c r="L13" s="20"/>
      <c r="M13" s="20"/>
      <c r="N13" s="20"/>
      <c r="O13" s="20"/>
      <c r="P13" s="20"/>
      <c r="Q13" s="20"/>
      <c r="R13" s="20"/>
      <c r="S13" s="20"/>
      <c r="T13" s="20"/>
      <c r="U13" s="20"/>
      <c r="V13" s="20"/>
      <c r="W13" s="20"/>
      <c r="X13" s="20"/>
      <c r="Y13" s="20"/>
      <c r="Z13" s="20"/>
    </row>
    <row r="14" spans="1:26" ht="45.75">
      <c r="A14" s="18">
        <v>9</v>
      </c>
      <c r="B14" s="15" t="s">
        <v>28</v>
      </c>
      <c r="C14" s="19" t="s">
        <v>29</v>
      </c>
      <c r="D14" s="19" t="s">
        <v>120</v>
      </c>
      <c r="E14" s="19" t="s">
        <v>121</v>
      </c>
      <c r="F14" s="20"/>
      <c r="G14" s="20"/>
      <c r="H14" s="20"/>
      <c r="I14" s="20"/>
      <c r="J14" s="20"/>
      <c r="K14" s="20"/>
      <c r="L14" s="20"/>
      <c r="M14" s="20"/>
      <c r="N14" s="20"/>
      <c r="O14" s="20"/>
      <c r="P14" s="20"/>
      <c r="Q14" s="20"/>
      <c r="R14" s="20"/>
      <c r="S14" s="20"/>
      <c r="T14" s="20"/>
      <c r="U14" s="20"/>
      <c r="V14" s="20"/>
      <c r="W14" s="20"/>
      <c r="X14" s="20"/>
      <c r="Y14" s="20"/>
      <c r="Z14" s="20"/>
    </row>
    <row r="15" spans="1:26" ht="61.5">
      <c r="A15" s="22">
        <v>10</v>
      </c>
      <c r="B15" s="23" t="s">
        <v>30</v>
      </c>
      <c r="C15" s="24" t="s">
        <v>31</v>
      </c>
      <c r="D15" s="24" t="s">
        <v>122</v>
      </c>
      <c r="E15" s="24" t="s">
        <v>123</v>
      </c>
      <c r="F15" s="20"/>
      <c r="G15" s="20"/>
      <c r="H15" s="20"/>
      <c r="I15" s="20"/>
      <c r="J15" s="20"/>
      <c r="K15" s="20"/>
      <c r="L15" s="20"/>
      <c r="M15" s="20"/>
      <c r="N15" s="20"/>
      <c r="O15" s="20"/>
      <c r="P15" s="20"/>
      <c r="Q15" s="20"/>
      <c r="R15" s="20"/>
      <c r="S15" s="20"/>
      <c r="T15" s="20"/>
      <c r="U15" s="20"/>
      <c r="V15" s="20"/>
      <c r="W15" s="20"/>
      <c r="X15" s="20"/>
      <c r="Y15" s="20"/>
      <c r="Z15" s="20"/>
    </row>
    <row r="16" spans="1:26" ht="70.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42" customHeight="1">
      <c r="A17" s="15" t="s">
        <v>32</v>
      </c>
      <c r="B17" s="19" t="s">
        <v>33</v>
      </c>
      <c r="C17" s="19"/>
      <c r="D17" s="19"/>
      <c r="E17" s="20"/>
      <c r="F17" s="20"/>
      <c r="G17" s="20"/>
      <c r="H17" s="20"/>
      <c r="I17" s="20"/>
      <c r="J17" s="20"/>
      <c r="K17" s="20"/>
      <c r="L17" s="20"/>
      <c r="M17" s="20"/>
      <c r="N17" s="20"/>
      <c r="O17" s="20"/>
      <c r="P17" s="20"/>
      <c r="Q17" s="20"/>
      <c r="R17" s="20"/>
      <c r="S17" s="20"/>
      <c r="T17" s="20"/>
      <c r="U17" s="20"/>
      <c r="V17" s="20"/>
      <c r="W17" s="20"/>
      <c r="X17" s="20"/>
      <c r="Y17" s="20"/>
      <c r="Z17" s="20"/>
    </row>
    <row r="18" spans="1:26" ht="42" customHeight="1">
      <c r="A18" s="19"/>
      <c r="B18" s="25" t="s">
        <v>34</v>
      </c>
      <c r="C18" s="19"/>
      <c r="D18" s="19"/>
      <c r="E18" s="20"/>
      <c r="F18" s="20"/>
      <c r="G18" s="20"/>
      <c r="H18" s="20"/>
      <c r="I18" s="20"/>
      <c r="J18" s="20"/>
      <c r="K18" s="20"/>
      <c r="L18" s="20"/>
      <c r="M18" s="20"/>
      <c r="N18" s="20"/>
      <c r="O18" s="20"/>
      <c r="P18" s="20"/>
      <c r="Q18" s="20"/>
      <c r="R18" s="20"/>
      <c r="S18" s="20"/>
      <c r="T18" s="20"/>
      <c r="U18" s="20"/>
      <c r="V18" s="20"/>
      <c r="W18" s="20"/>
      <c r="X18" s="20"/>
      <c r="Y18" s="20"/>
      <c r="Z18" s="20"/>
    </row>
    <row r="19" spans="1:26" ht="56.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56.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56.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56.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56.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56.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56.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56.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56.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56.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56.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56.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56.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56.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56.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56.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56.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56.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56.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56.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56.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56.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56.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56.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56.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56.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56.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56.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56.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56.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56.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56.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56.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56.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56.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56.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56.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56.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56.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56.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56.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56.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56.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56.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56.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56.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56.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56.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56.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56.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56.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56.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56.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56.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56.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56.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56.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56.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56.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56.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56.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56.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56.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56.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56.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56.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56.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56.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56.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56.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56.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56.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56.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56.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56.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56.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56.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56.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56.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56.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56.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56.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56.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56.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56.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56.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56.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56.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56.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56.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56.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56.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56.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56.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56.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56.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56.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56.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56.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56.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56.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56.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56.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56.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56.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56.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56.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56.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56.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56.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56.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56.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56.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56.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56.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56.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56.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56.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56.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56.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56.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56.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56.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56.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56.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56.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56.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56.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56.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56.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56.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56.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56.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56.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56.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56.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56.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56.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56.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56.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56.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56.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56.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56.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56.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56.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56.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56.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56.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56.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56.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56.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56.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56.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56.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56.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56.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56.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56.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56.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56.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56.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56.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56.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56.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56.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56.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56.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56.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56.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56.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56.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56.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56.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56.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56.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56.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56.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56.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56.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56.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56.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56.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56.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56.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56.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56.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56.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56.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56.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56.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56.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56.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56.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56.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56.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56.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56.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56.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56.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56.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56.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56.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56.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56.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56.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56.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56.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56.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56.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56.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56.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56.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56.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56.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56.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56.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56.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56.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56.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56.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56.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56.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56.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56.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56.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56.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56.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56.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56.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56.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56.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56.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56.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56.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56.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56.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56.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56.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56.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56.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56.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56.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56.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56.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56.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56.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56.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56.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56.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56.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56.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56.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56.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56.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56.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56.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56.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56.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56.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56.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56.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56.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56.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56.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56.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56.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56.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56.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56.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56.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56.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56.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56.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56.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56.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56.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56.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56.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56.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56.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56.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56.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56.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56.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56.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56.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56.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56.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56.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56.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56.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56.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56.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56.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56.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56.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56.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56.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56.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56.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56.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56.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56.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56.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56.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56.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56.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56.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56.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56.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56.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56.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56.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56.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56.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56.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56.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56.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56.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56.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56.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56.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56.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56.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56.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56.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56.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56.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56.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56.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56.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56.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56.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56.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56.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56.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56.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56.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56.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56.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56.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56.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56.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56.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56.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56.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56.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56.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56.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56.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56.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56.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56.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56.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56.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56.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56.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56.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56.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56.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56.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56.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56.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56.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56.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56.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56.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56.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56.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56.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56.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56.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56.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56.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56.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56.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56.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56.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56.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56.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56.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56.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56.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56.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56.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56.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56.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56.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56.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56.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56.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56.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56.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56.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56.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56.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56.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56.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56.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56.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56.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56.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56.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56.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56.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56.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56.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56.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56.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56.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56.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56.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56.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56.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56.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56.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56.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56.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56.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56.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56.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56.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56.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56.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56.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56.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56.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56.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56.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56.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56.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56.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56.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56.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56.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56.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56.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56.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56.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56.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56.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56.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56.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56.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56.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56.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56.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56.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56.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56.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56.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56.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56.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56.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56.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56.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56.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56.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56.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56.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56.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56.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56.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56.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56.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56.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56.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56.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56.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56.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56.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56.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56.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56.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56.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56.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56.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56.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56.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56.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56.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56.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56.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56.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56.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56.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56.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56.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56.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56.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56.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56.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56.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56.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56.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56.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56.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56.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56.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56.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56.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56.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56.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56.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56.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56.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56.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56.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56.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56.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56.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56.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56.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56.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56.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56.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56.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56.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56.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56.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56.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56.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56.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56.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56.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56.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56.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56.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56.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56.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56.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56.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56.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56.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56.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56.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56.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56.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56.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56.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56.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56.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56.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56.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56.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56.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56.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56.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56.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56.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56.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56.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56.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56.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56.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56.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56.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56.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56.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56.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56.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56.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56.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56.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56.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56.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56.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56.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56.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56.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56.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56.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56.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56.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56.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56.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56.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56.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56.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56.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56.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56.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56.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56.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56.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56.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56.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56.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56.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56.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56.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56.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56.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56.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56.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56.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56.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56.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56.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56.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56.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56.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56.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56.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56.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56.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56.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56.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56.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56.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56.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56.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56.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56.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56.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56.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56.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56.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56.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56.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56.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56.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56.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56.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56.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56.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56.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56.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56.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56.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56.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56.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56.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56.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56.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56.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56.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56.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56.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56.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56.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56.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56.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56.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56.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56.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56.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56.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56.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56.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56.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56.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56.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56.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56.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56.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56.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56.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56.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56.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56.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56.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56.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56.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56.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56.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56.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56.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56.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56.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56.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56.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56.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56.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56.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56.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56.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56.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56.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56.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56.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56.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56.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56.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56.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56.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56.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56.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56.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56.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56.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56.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56.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56.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56.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56.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56.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56.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56.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56.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56.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56.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56.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56.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56.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56.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56.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56.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56.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56.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56.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56.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56.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56.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56.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56.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56.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56.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56.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56.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56.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56.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56.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56.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56.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56.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56.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56.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56.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56.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56.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56.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56.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56.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56.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56.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56.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56.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56.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56.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56.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56.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56.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56.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56.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56.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56.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56.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56.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56.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56.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56.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56.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56.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56.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56.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56.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56.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56.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56.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56.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56.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56.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56.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56.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56.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56.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56.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56.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56.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56.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56.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56.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56.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56.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56.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56.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56.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56.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56.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56.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56.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56.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56.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56.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56.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56.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56.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56.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56.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56.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56.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56.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56.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56.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56.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56.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56.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56.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56.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56.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56.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56.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56.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56.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56.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56.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56.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56.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56.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56.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56.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56.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56.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56.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56.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56.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56.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56.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56.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56.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56.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56.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56.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56.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56.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56.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56.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56.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56.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56.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56.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56.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56.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56.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56.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56.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56.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56.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56.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56.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56.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56.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56.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56.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56.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56.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56.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56.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56.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56.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56.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56.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56.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56.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56.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56.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56.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56.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56.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56.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56.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56.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56.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56.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56.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56.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56.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56.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56.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56.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56.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56.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56.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56.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56.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56.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56.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56.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56.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56.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56.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56.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56.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56.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56.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56.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56.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56.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56.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56.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56.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56.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56.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56.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56.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56.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56.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56.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56.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56.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56.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56.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56.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56.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56.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56.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56.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56.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56.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56.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56.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56.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56.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56.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56.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56.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56.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56.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56.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56.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56.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56.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56.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56.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56.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56.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56.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56.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56.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56.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56.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56.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56.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56.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56.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56.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56.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56.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56.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56.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56.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56.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56.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56.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56.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56.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56.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56.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56.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56.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56.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56.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56.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56.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56.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56.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56.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56.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56.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56.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56.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56.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56.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56.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56.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56.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56.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56.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56.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56.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56.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56.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56.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56.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56.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56.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56.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56.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56.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56.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
    <mergeCell ref="A1:E1"/>
    <mergeCell ref="B2:E2"/>
    <mergeCell ref="B3:E3"/>
    <mergeCell ref="B4:E4"/>
  </mergeCells>
  <hyperlinks>
    <hyperlink ref="B18" r:id="rId1" xr:uid="{2729965B-8E23-4D92-AB0C-6387339FA728}"/>
  </hyperlinks>
  <pageMargins left="0.75" right="0.75" top="1" bottom="1"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DF2F-15EB-4DF5-A436-E01E7FCEB191}">
  <dimension ref="A1:Z1000"/>
  <sheetViews>
    <sheetView tabSelected="1" zoomScale="55" zoomScaleNormal="55" workbookViewId="0"/>
  </sheetViews>
  <sheetFormatPr defaultColWidth="11.25" defaultRowHeight="15.7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c r="A1" s="43" t="s">
        <v>0</v>
      </c>
      <c r="B1" s="43"/>
      <c r="C1" s="43"/>
      <c r="D1" s="43"/>
      <c r="E1" s="43"/>
      <c r="F1" s="13"/>
      <c r="G1" s="13"/>
      <c r="H1" s="13"/>
      <c r="I1" s="13"/>
      <c r="J1" s="13"/>
      <c r="K1" s="13"/>
      <c r="L1" s="13"/>
      <c r="M1" s="13"/>
      <c r="N1" s="13"/>
      <c r="O1" s="13"/>
      <c r="P1" s="13"/>
      <c r="Q1" s="13"/>
      <c r="R1" s="13"/>
      <c r="S1" s="13"/>
      <c r="T1" s="13"/>
      <c r="U1" s="13"/>
      <c r="V1" s="13"/>
      <c r="W1" s="13"/>
      <c r="X1" s="13"/>
      <c r="Y1" s="13"/>
      <c r="Z1" s="13"/>
    </row>
    <row r="2" spans="1:26" ht="27.75" customHeight="1">
      <c r="A2" s="14" t="s">
        <v>1</v>
      </c>
      <c r="B2" s="46" t="s">
        <v>124</v>
      </c>
      <c r="C2" s="46"/>
      <c r="D2" s="46"/>
      <c r="E2" s="46"/>
      <c r="F2" s="13"/>
      <c r="G2" s="13"/>
      <c r="H2" s="13"/>
      <c r="I2" s="13"/>
      <c r="J2" s="13"/>
      <c r="K2" s="13"/>
      <c r="L2" s="13"/>
      <c r="M2" s="13"/>
      <c r="N2" s="13"/>
      <c r="O2" s="13"/>
      <c r="P2" s="13"/>
      <c r="Q2" s="13"/>
      <c r="R2" s="13"/>
      <c r="S2" s="13"/>
      <c r="T2" s="13"/>
      <c r="U2" s="13"/>
      <c r="V2" s="13"/>
      <c r="W2" s="13"/>
      <c r="X2" s="13"/>
      <c r="Y2" s="13"/>
      <c r="Z2" s="13"/>
    </row>
    <row r="3" spans="1:26" ht="27.75" customHeight="1">
      <c r="A3" s="14" t="s">
        <v>3</v>
      </c>
      <c r="B3" s="44"/>
      <c r="C3" s="44"/>
      <c r="D3" s="44"/>
      <c r="E3" s="44"/>
      <c r="F3" s="13"/>
      <c r="G3" s="13"/>
      <c r="H3" s="13"/>
      <c r="I3" s="13"/>
      <c r="J3" s="13"/>
      <c r="K3" s="13"/>
      <c r="L3" s="13"/>
      <c r="M3" s="13"/>
      <c r="N3" s="13"/>
      <c r="O3" s="13"/>
      <c r="P3" s="13"/>
      <c r="Q3" s="13"/>
      <c r="R3" s="13"/>
      <c r="S3" s="13"/>
      <c r="T3" s="13"/>
      <c r="U3" s="13"/>
      <c r="V3" s="13"/>
      <c r="W3" s="13"/>
      <c r="X3" s="13"/>
      <c r="Y3" s="13"/>
      <c r="Z3" s="13"/>
    </row>
    <row r="4" spans="1:26" ht="27.75" customHeight="1">
      <c r="A4" s="14" t="s">
        <v>5</v>
      </c>
      <c r="B4" s="42" t="s">
        <v>6</v>
      </c>
      <c r="C4" s="45"/>
      <c r="D4" s="45"/>
      <c r="E4" s="45"/>
      <c r="F4" s="13"/>
      <c r="G4" s="13"/>
      <c r="H4" s="13"/>
      <c r="I4" s="13"/>
      <c r="J4" s="13"/>
      <c r="K4" s="13"/>
      <c r="L4" s="13"/>
      <c r="M4" s="13"/>
      <c r="N4" s="13"/>
      <c r="O4" s="13"/>
      <c r="P4" s="13"/>
      <c r="Q4" s="13"/>
      <c r="R4" s="13"/>
      <c r="S4" s="13"/>
      <c r="T4" s="13"/>
      <c r="U4" s="13"/>
      <c r="V4" s="13"/>
      <c r="W4" s="13"/>
      <c r="X4" s="13"/>
      <c r="Y4" s="13"/>
      <c r="Z4" s="13"/>
    </row>
    <row r="5" spans="1:26" ht="42" customHeight="1">
      <c r="A5" s="16" t="s">
        <v>7</v>
      </c>
      <c r="B5" s="17" t="s">
        <v>8</v>
      </c>
      <c r="C5" s="17" t="s">
        <v>9</v>
      </c>
      <c r="D5" s="17" t="s">
        <v>10</v>
      </c>
      <c r="E5" s="17" t="s">
        <v>11</v>
      </c>
      <c r="F5" s="13"/>
      <c r="G5" s="13"/>
      <c r="H5" s="13"/>
      <c r="I5" s="13"/>
      <c r="J5" s="13"/>
      <c r="K5" s="13"/>
      <c r="L5" s="13"/>
      <c r="M5" s="13"/>
      <c r="N5" s="13"/>
      <c r="O5" s="13"/>
      <c r="P5" s="13"/>
      <c r="Q5" s="13"/>
      <c r="R5" s="13"/>
      <c r="S5" s="13"/>
      <c r="T5" s="13"/>
      <c r="U5" s="13"/>
      <c r="V5" s="13"/>
      <c r="W5" s="13"/>
      <c r="X5" s="13"/>
      <c r="Y5" s="13"/>
      <c r="Z5" s="13"/>
    </row>
    <row r="6" spans="1:26" ht="76.5">
      <c r="A6" s="18">
        <v>1</v>
      </c>
      <c r="B6" s="15" t="s">
        <v>12</v>
      </c>
      <c r="C6" s="19" t="s">
        <v>13</v>
      </c>
      <c r="D6" s="19" t="s">
        <v>125</v>
      </c>
      <c r="E6" s="19" t="s">
        <v>126</v>
      </c>
      <c r="F6" s="20"/>
      <c r="G6" s="20"/>
      <c r="H6" s="20"/>
      <c r="I6" s="20"/>
      <c r="J6" s="20"/>
      <c r="K6" s="20"/>
      <c r="L6" s="20"/>
      <c r="M6" s="20"/>
      <c r="N6" s="20"/>
      <c r="O6" s="20"/>
      <c r="P6" s="20"/>
      <c r="Q6" s="20"/>
      <c r="R6" s="20"/>
      <c r="S6" s="20"/>
      <c r="T6" s="20"/>
      <c r="U6" s="20"/>
      <c r="V6" s="20"/>
      <c r="W6" s="20"/>
      <c r="X6" s="20"/>
      <c r="Y6" s="20"/>
      <c r="Z6" s="20"/>
    </row>
    <row r="7" spans="1:26" ht="61.5">
      <c r="A7" s="18">
        <v>2</v>
      </c>
      <c r="B7" s="15" t="s">
        <v>14</v>
      </c>
      <c r="C7" s="19" t="s">
        <v>15</v>
      </c>
      <c r="D7" s="19" t="s">
        <v>127</v>
      </c>
      <c r="E7" s="19" t="s">
        <v>128</v>
      </c>
      <c r="F7" s="20"/>
      <c r="G7" s="20"/>
      <c r="H7" s="20"/>
      <c r="I7" s="20"/>
      <c r="J7" s="20"/>
      <c r="K7" s="20"/>
      <c r="L7" s="20"/>
      <c r="M7" s="20"/>
      <c r="N7" s="20"/>
      <c r="O7" s="20"/>
      <c r="P7" s="20"/>
      <c r="Q7" s="20"/>
      <c r="R7" s="20"/>
      <c r="S7" s="20"/>
      <c r="T7" s="20"/>
      <c r="U7" s="20"/>
      <c r="V7" s="20"/>
      <c r="W7" s="20"/>
      <c r="X7" s="20"/>
      <c r="Y7" s="20"/>
      <c r="Z7" s="20"/>
    </row>
    <row r="8" spans="1:26" ht="61.5">
      <c r="A8" s="18">
        <v>3</v>
      </c>
      <c r="B8" s="15" t="s">
        <v>16</v>
      </c>
      <c r="C8" s="19" t="s">
        <v>17</v>
      </c>
      <c r="D8" s="19" t="s">
        <v>129</v>
      </c>
      <c r="E8" s="19" t="s">
        <v>128</v>
      </c>
      <c r="F8" s="20"/>
      <c r="G8" s="20"/>
      <c r="H8" s="20"/>
      <c r="I8" s="20"/>
      <c r="J8" s="20"/>
      <c r="K8" s="20"/>
      <c r="L8" s="20"/>
      <c r="M8" s="20"/>
      <c r="N8" s="20"/>
      <c r="O8" s="20"/>
      <c r="P8" s="20"/>
      <c r="Q8" s="20"/>
      <c r="R8" s="20"/>
      <c r="S8" s="20"/>
      <c r="T8" s="20"/>
      <c r="U8" s="20"/>
      <c r="V8" s="20"/>
      <c r="W8" s="20"/>
      <c r="X8" s="20"/>
      <c r="Y8" s="20"/>
      <c r="Z8" s="20"/>
    </row>
    <row r="9" spans="1:26" ht="45.75">
      <c r="A9" s="18">
        <v>4</v>
      </c>
      <c r="B9" s="15" t="s">
        <v>18</v>
      </c>
      <c r="C9" s="19" t="s">
        <v>19</v>
      </c>
      <c r="D9" s="19" t="s">
        <v>127</v>
      </c>
      <c r="E9" s="19" t="s">
        <v>128</v>
      </c>
      <c r="F9" s="20"/>
      <c r="G9" s="20"/>
      <c r="H9" s="20"/>
      <c r="I9" s="20"/>
      <c r="J9" s="20"/>
      <c r="K9" s="20"/>
      <c r="L9" s="20"/>
      <c r="M9" s="20"/>
      <c r="N9" s="20"/>
      <c r="O9" s="20"/>
      <c r="P9" s="20"/>
      <c r="Q9" s="20"/>
      <c r="R9" s="20"/>
      <c r="S9" s="20"/>
      <c r="T9" s="20"/>
      <c r="U9" s="20"/>
      <c r="V9" s="20"/>
      <c r="W9" s="20"/>
      <c r="X9" s="20"/>
      <c r="Y9" s="20"/>
      <c r="Z9" s="20"/>
    </row>
    <row r="10" spans="1:26" ht="45.75">
      <c r="A10" s="18">
        <v>5</v>
      </c>
      <c r="B10" s="15" t="s">
        <v>20</v>
      </c>
      <c r="C10" s="19" t="s">
        <v>21</v>
      </c>
      <c r="D10" s="19" t="s">
        <v>127</v>
      </c>
      <c r="E10" s="19" t="s">
        <v>128</v>
      </c>
      <c r="F10" s="20"/>
      <c r="G10" s="20"/>
      <c r="H10" s="20"/>
      <c r="I10" s="20"/>
      <c r="J10" s="20"/>
      <c r="K10" s="20"/>
      <c r="L10" s="20"/>
      <c r="M10" s="20"/>
      <c r="N10" s="20"/>
      <c r="O10" s="20"/>
      <c r="P10" s="20"/>
      <c r="Q10" s="20"/>
      <c r="R10" s="20"/>
      <c r="S10" s="20"/>
      <c r="T10" s="20"/>
      <c r="U10" s="20"/>
      <c r="V10" s="20"/>
      <c r="W10" s="20"/>
      <c r="X10" s="20"/>
      <c r="Y10" s="20"/>
      <c r="Z10" s="20"/>
    </row>
    <row r="11" spans="1:26" ht="61.5">
      <c r="A11" s="18">
        <v>6</v>
      </c>
      <c r="B11" s="15" t="s">
        <v>22</v>
      </c>
      <c r="C11" s="19" t="s">
        <v>23</v>
      </c>
      <c r="D11" s="21" t="s">
        <v>130</v>
      </c>
      <c r="E11" s="19" t="s">
        <v>128</v>
      </c>
      <c r="F11" s="20"/>
      <c r="G11" s="20"/>
      <c r="H11" s="20"/>
      <c r="I11" s="20"/>
      <c r="J11" s="20"/>
      <c r="K11" s="20"/>
      <c r="L11" s="20"/>
      <c r="M11" s="20"/>
      <c r="N11" s="20"/>
      <c r="O11" s="20"/>
      <c r="P11" s="20"/>
      <c r="Q11" s="20"/>
      <c r="R11" s="20"/>
      <c r="S11" s="20"/>
      <c r="T11" s="20"/>
      <c r="U11" s="20"/>
      <c r="V11" s="20"/>
      <c r="W11" s="20"/>
      <c r="X11" s="20"/>
      <c r="Y11" s="20"/>
      <c r="Z11" s="20"/>
    </row>
    <row r="12" spans="1:26" ht="61.5">
      <c r="A12" s="18">
        <v>7</v>
      </c>
      <c r="B12" s="15" t="s">
        <v>24</v>
      </c>
      <c r="C12" s="19" t="s">
        <v>25</v>
      </c>
      <c r="D12" s="19" t="s">
        <v>127</v>
      </c>
      <c r="E12" s="19" t="s">
        <v>128</v>
      </c>
      <c r="F12" s="20"/>
      <c r="G12" s="20"/>
      <c r="H12" s="20"/>
      <c r="I12" s="20"/>
      <c r="J12" s="20"/>
      <c r="K12" s="20"/>
      <c r="L12" s="20"/>
      <c r="M12" s="20"/>
      <c r="N12" s="20"/>
      <c r="O12" s="20"/>
      <c r="P12" s="20"/>
      <c r="Q12" s="20"/>
      <c r="R12" s="20"/>
      <c r="S12" s="20"/>
      <c r="T12" s="20"/>
      <c r="U12" s="20"/>
      <c r="V12" s="20"/>
      <c r="W12" s="20"/>
      <c r="X12" s="20"/>
      <c r="Y12" s="20"/>
      <c r="Z12" s="20"/>
    </row>
    <row r="13" spans="1:26" ht="61.5">
      <c r="A13" s="18">
        <v>8</v>
      </c>
      <c r="B13" s="15" t="s">
        <v>26</v>
      </c>
      <c r="C13" s="19" t="s">
        <v>27</v>
      </c>
      <c r="D13" s="19" t="s">
        <v>127</v>
      </c>
      <c r="E13" s="19" t="s">
        <v>128</v>
      </c>
      <c r="F13" s="20"/>
      <c r="G13" s="20"/>
      <c r="H13" s="20"/>
      <c r="I13" s="20"/>
      <c r="J13" s="20"/>
      <c r="K13" s="20"/>
      <c r="L13" s="20"/>
      <c r="M13" s="20"/>
      <c r="N13" s="20"/>
      <c r="O13" s="20"/>
      <c r="P13" s="20"/>
      <c r="Q13" s="20"/>
      <c r="R13" s="20"/>
      <c r="S13" s="20"/>
      <c r="T13" s="20"/>
      <c r="U13" s="20"/>
      <c r="V13" s="20"/>
      <c r="W13" s="20"/>
      <c r="X13" s="20"/>
      <c r="Y13" s="20"/>
      <c r="Z13" s="20"/>
    </row>
    <row r="14" spans="1:26" ht="45.75">
      <c r="A14" s="18">
        <v>9</v>
      </c>
      <c r="B14" s="15" t="s">
        <v>28</v>
      </c>
      <c r="C14" s="19" t="s">
        <v>29</v>
      </c>
      <c r="D14" s="30" t="s">
        <v>131</v>
      </c>
      <c r="E14" s="30" t="s">
        <v>128</v>
      </c>
      <c r="F14" s="20"/>
      <c r="G14" s="20"/>
      <c r="H14" s="20"/>
      <c r="I14" s="20"/>
      <c r="J14" s="20"/>
      <c r="K14" s="20"/>
      <c r="L14" s="20"/>
      <c r="M14" s="20"/>
      <c r="N14" s="20"/>
      <c r="O14" s="20"/>
      <c r="P14" s="20"/>
      <c r="Q14" s="20"/>
      <c r="R14" s="20"/>
      <c r="S14" s="20"/>
      <c r="T14" s="20"/>
      <c r="U14" s="20"/>
      <c r="V14" s="20"/>
      <c r="W14" s="20"/>
      <c r="X14" s="20"/>
      <c r="Y14" s="20"/>
      <c r="Z14" s="20"/>
    </row>
    <row r="15" spans="1:26" ht="61.5">
      <c r="A15" s="22">
        <v>10</v>
      </c>
      <c r="B15" s="23" t="s">
        <v>30</v>
      </c>
      <c r="C15" s="24" t="s">
        <v>31</v>
      </c>
      <c r="D15" s="24" t="s">
        <v>132</v>
      </c>
      <c r="E15" s="24" t="s">
        <v>128</v>
      </c>
      <c r="F15" s="20"/>
      <c r="G15" s="20"/>
      <c r="H15" s="20"/>
      <c r="I15" s="20"/>
      <c r="J15" s="20"/>
      <c r="K15" s="20"/>
      <c r="L15" s="20"/>
      <c r="M15" s="20"/>
      <c r="N15" s="20"/>
      <c r="O15" s="20"/>
      <c r="P15" s="20"/>
      <c r="Q15" s="20"/>
      <c r="R15" s="20"/>
      <c r="S15" s="20"/>
      <c r="T15" s="20"/>
      <c r="U15" s="20"/>
      <c r="V15" s="20"/>
      <c r="W15" s="20"/>
      <c r="X15" s="20"/>
      <c r="Y15" s="20"/>
      <c r="Z15" s="20"/>
    </row>
    <row r="16" spans="1:26" ht="70.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42" customHeight="1">
      <c r="A17" s="15" t="s">
        <v>32</v>
      </c>
      <c r="B17" s="19" t="s">
        <v>33</v>
      </c>
      <c r="C17" s="19"/>
      <c r="D17" s="19"/>
      <c r="E17" s="20"/>
      <c r="F17" s="20"/>
      <c r="G17" s="20"/>
      <c r="H17" s="20"/>
      <c r="I17" s="20"/>
      <c r="J17" s="20"/>
      <c r="K17" s="20"/>
      <c r="L17" s="20"/>
      <c r="M17" s="20"/>
      <c r="N17" s="20"/>
      <c r="O17" s="20"/>
      <c r="P17" s="20"/>
      <c r="Q17" s="20"/>
      <c r="R17" s="20"/>
      <c r="S17" s="20"/>
      <c r="T17" s="20"/>
      <c r="U17" s="20"/>
      <c r="V17" s="20"/>
      <c r="W17" s="20"/>
      <c r="X17" s="20"/>
      <c r="Y17" s="20"/>
      <c r="Z17" s="20"/>
    </row>
    <row r="18" spans="1:26" ht="42" customHeight="1">
      <c r="A18" s="19"/>
      <c r="B18" s="25" t="s">
        <v>34</v>
      </c>
      <c r="C18" s="19"/>
      <c r="D18" s="19"/>
      <c r="E18" s="20"/>
      <c r="F18" s="20"/>
      <c r="G18" s="20"/>
      <c r="H18" s="20"/>
      <c r="I18" s="20"/>
      <c r="J18" s="20"/>
      <c r="K18" s="20"/>
      <c r="L18" s="20"/>
      <c r="M18" s="20"/>
      <c r="N18" s="20"/>
      <c r="O18" s="20"/>
      <c r="P18" s="20"/>
      <c r="Q18" s="20"/>
      <c r="R18" s="20"/>
      <c r="S18" s="20"/>
      <c r="T18" s="20"/>
      <c r="U18" s="20"/>
      <c r="V18" s="20"/>
      <c r="W18" s="20"/>
      <c r="X18" s="20"/>
      <c r="Y18" s="20"/>
      <c r="Z18" s="20"/>
    </row>
    <row r="19" spans="1:26" ht="56.2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56.2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56.2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56.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56.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56.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56.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56.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56.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56.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56.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56.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56.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56.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56.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56.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56.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56.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56.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56.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56.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56.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56.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56.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56.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56.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56.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56.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56.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56.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56.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56.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56.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56.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56.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56.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56.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56.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56.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56.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56.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56.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56.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56.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56.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56.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56.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56.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56.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56.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56.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56.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56.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56.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56.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56.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56.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56.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56.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56.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56.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56.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56.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56.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56.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56.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56.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56.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56.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56.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56.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56.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56.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56.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56.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56.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56.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56.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56.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56.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56.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56.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56.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56.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56.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56.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56.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56.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56.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56.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56.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56.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56.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56.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56.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56.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56.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56.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56.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56.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56.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56.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56.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56.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56.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56.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56.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56.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56.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56.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56.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56.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56.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56.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56.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56.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56.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56.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56.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56.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56.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56.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56.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56.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56.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56.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56.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56.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56.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56.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56.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56.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56.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56.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56.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56.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56.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56.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56.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56.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56.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56.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56.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56.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56.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56.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56.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56.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56.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56.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56.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56.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56.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56.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56.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56.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56.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56.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56.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56.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56.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56.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56.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56.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56.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56.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56.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56.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56.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56.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56.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56.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56.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56.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56.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56.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56.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56.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56.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56.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56.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56.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56.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56.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56.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56.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56.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56.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56.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56.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56.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56.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56.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56.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56.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56.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56.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56.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56.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56.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56.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56.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56.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56.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56.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56.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56.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56.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56.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56.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56.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56.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56.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56.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56.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56.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56.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56.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56.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56.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56.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56.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56.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56.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56.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56.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56.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56.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56.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56.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56.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56.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56.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56.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56.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56.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56.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56.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56.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56.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56.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56.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56.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56.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56.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56.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56.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56.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56.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56.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56.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56.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56.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56.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56.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56.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56.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56.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56.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56.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56.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56.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56.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56.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56.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56.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56.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56.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56.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56.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56.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56.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56.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56.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56.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56.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56.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56.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56.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56.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56.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56.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56.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56.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56.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56.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56.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56.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56.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56.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56.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56.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56.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56.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56.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56.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56.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56.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56.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56.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56.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56.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56.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56.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56.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56.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56.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56.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56.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56.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56.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56.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56.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56.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56.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56.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56.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56.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56.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56.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56.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56.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56.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56.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56.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56.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56.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56.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56.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56.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56.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56.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56.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56.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56.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56.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56.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56.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56.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56.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56.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56.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56.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56.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56.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56.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56.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56.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56.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56.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56.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56.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56.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56.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56.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56.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56.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56.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56.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56.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56.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56.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56.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56.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56.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56.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56.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56.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56.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56.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56.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56.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56.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56.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56.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56.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56.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56.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56.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56.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56.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56.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56.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56.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56.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56.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56.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56.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56.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56.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56.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56.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56.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56.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56.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56.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56.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56.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56.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56.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56.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56.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56.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56.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56.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56.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56.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56.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56.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56.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56.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56.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56.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56.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56.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56.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56.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56.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56.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56.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56.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56.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56.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56.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56.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56.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56.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56.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56.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56.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56.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56.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56.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56.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56.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56.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56.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56.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56.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56.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56.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56.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56.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56.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56.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56.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56.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56.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56.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56.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56.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56.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56.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56.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56.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56.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56.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56.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56.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56.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56.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56.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56.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56.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56.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56.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56.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56.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56.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56.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56.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56.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56.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56.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56.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56.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56.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56.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56.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56.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56.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56.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56.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56.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56.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56.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56.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56.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56.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56.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56.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56.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56.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56.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56.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56.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56.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56.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56.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56.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56.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56.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56.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56.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56.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56.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56.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56.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56.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56.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56.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56.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56.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56.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56.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56.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56.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56.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56.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56.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56.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56.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56.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56.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56.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56.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56.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56.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56.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56.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56.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56.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56.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56.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56.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56.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56.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56.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56.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56.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56.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56.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56.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56.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56.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56.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56.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56.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56.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56.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56.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56.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56.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56.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56.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56.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56.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56.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56.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56.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56.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56.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56.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56.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56.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56.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56.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56.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56.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56.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56.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56.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56.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56.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56.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56.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56.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56.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56.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56.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56.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56.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56.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56.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56.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56.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56.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56.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56.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56.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56.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56.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56.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56.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56.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56.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56.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56.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56.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56.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56.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56.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56.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56.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56.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56.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56.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56.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56.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56.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56.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56.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56.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56.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56.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56.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56.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56.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56.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56.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56.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56.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56.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56.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56.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56.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56.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56.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56.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56.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56.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56.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56.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56.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56.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56.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56.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56.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56.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56.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56.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56.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56.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56.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56.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56.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56.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56.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56.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56.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56.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56.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56.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56.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56.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56.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56.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56.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56.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56.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56.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56.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56.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56.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56.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56.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56.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56.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56.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56.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56.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56.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56.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56.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56.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56.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56.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56.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56.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56.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56.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56.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56.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56.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56.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56.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56.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56.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56.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56.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56.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56.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56.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56.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56.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56.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56.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56.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56.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56.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56.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56.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56.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56.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56.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56.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56.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56.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56.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56.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56.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56.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56.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56.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56.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56.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56.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56.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56.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56.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56.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56.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56.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56.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56.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56.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56.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56.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56.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56.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56.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56.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56.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56.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56.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56.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56.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56.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56.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56.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56.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56.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56.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56.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56.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56.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56.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56.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56.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56.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56.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56.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56.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56.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56.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56.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56.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56.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56.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56.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56.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56.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56.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56.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56.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56.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56.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56.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56.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56.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56.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56.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56.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56.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56.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56.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56.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56.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56.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56.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56.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56.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56.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56.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56.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56.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56.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56.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56.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56.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56.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56.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56.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56.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56.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56.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56.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56.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56.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56.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56.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56.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56.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56.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56.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56.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56.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56.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56.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56.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56.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56.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56.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56.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56.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56.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56.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56.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56.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56.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56.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56.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56.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56.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56.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56.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56.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56.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56.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56.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56.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56.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56.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56.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56.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56.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56.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56.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56.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56.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56.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56.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56.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56.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56.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56.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56.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56.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56.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56.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56.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56.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56.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56.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56.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56.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56.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56.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56.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56.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56.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56.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56.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56.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56.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56.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56.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56.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56.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56.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56.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56.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56.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56.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56.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56.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56.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56.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56.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56.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56.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56.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56.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56.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56.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56.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56.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56.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56.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56.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56.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56.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56.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56.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56.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56.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56.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56.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56.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56.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56.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56.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56.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56.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56.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56.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56.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56.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56.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56.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56.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56.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56.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56.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56.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56.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56.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56.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56.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56.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56.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56.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56.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56.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56.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56.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56.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56.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56.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56.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56.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56.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56.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56.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56.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56.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56.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56.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56.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56.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56.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56.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56.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56.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56.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56.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56.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56.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56.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56.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56.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56.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56.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56.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56.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56.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56.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56.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56.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56.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56.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56.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56.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56.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56.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56.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56.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56.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56.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56.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56.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56.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56.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56.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56.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56.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56.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56.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56.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56.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56.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56.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
    <mergeCell ref="A1:E1"/>
    <mergeCell ref="B2:E2"/>
    <mergeCell ref="B3:E3"/>
    <mergeCell ref="B4:E4"/>
  </mergeCells>
  <hyperlinks>
    <hyperlink ref="B18" r:id="rId1" xr:uid="{38971896-9849-4217-BE28-84CAAD1ED548}"/>
  </hyperlinks>
  <pageMargins left="0.75" right="0.75" top="1" bottom="1"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76D7-6F59-435D-9A46-64D6270E70B9}">
  <dimension ref="A1:AC73"/>
  <sheetViews>
    <sheetView workbookViewId="0">
      <selection activeCell="B3" sqref="B3"/>
    </sheetView>
  </sheetViews>
  <sheetFormatPr defaultRowHeight="15.75"/>
  <cols>
    <col min="1" max="1" width="13.5" bestFit="1" customWidth="1"/>
    <col min="2" max="2" width="20.75" customWidth="1"/>
    <col min="4" max="4" width="13.5" bestFit="1" customWidth="1"/>
    <col min="5" max="5" width="12" bestFit="1" customWidth="1"/>
    <col min="8" max="8" width="12.5" bestFit="1" customWidth="1"/>
    <col min="11" max="11" width="12" bestFit="1" customWidth="1"/>
    <col min="14" max="14" width="12.5" bestFit="1" customWidth="1"/>
    <col min="15" max="15" width="11.5" bestFit="1" customWidth="1"/>
    <col min="17" max="17" width="12" bestFit="1" customWidth="1"/>
  </cols>
  <sheetData>
    <row r="1" spans="1:20">
      <c r="A1" s="27" t="s">
        <v>133</v>
      </c>
      <c r="B1" s="27" t="s">
        <v>134</v>
      </c>
      <c r="D1" s="27" t="s">
        <v>133</v>
      </c>
      <c r="E1" s="27" t="s">
        <v>135</v>
      </c>
      <c r="G1" s="27" t="s">
        <v>133</v>
      </c>
      <c r="H1" s="27" t="s">
        <v>136</v>
      </c>
      <c r="J1" s="27" t="s">
        <v>133</v>
      </c>
      <c r="K1" s="27" t="s">
        <v>137</v>
      </c>
      <c r="M1" s="27" t="s">
        <v>133</v>
      </c>
      <c r="N1" s="27" t="s">
        <v>138</v>
      </c>
      <c r="P1" s="27" t="s">
        <v>133</v>
      </c>
      <c r="Q1" s="27" t="s">
        <v>139</v>
      </c>
    </row>
    <row r="2" spans="1:20">
      <c r="A2" s="27">
        <v>1</v>
      </c>
      <c r="B2" s="27" t="str">
        <f>IF('Parecer 1 - Caroline'!D6="","não se aplica",'Parecer 1 - Caroline'!D6)</f>
        <v>O sistema apresenta o dia selecionado, tarefas e agenda de forma clara. Porém, ao marcar uma tarefa como concluída, não existe uma confirmação visual muito evidente além do texto riscado.</v>
      </c>
      <c r="D2" s="27">
        <v>1</v>
      </c>
      <c r="E2" t="str">
        <f>IF('Parecer 1 - Caroline'!D6="","não se aplica",'Parecer 1 - Caroline'!D6)</f>
        <v>O sistema apresenta o dia selecionado, tarefas e agenda de forma clara. Porém, ao marcar uma tarefa como concluída, não existe uma confirmação visual muito evidente além do texto riscado.</v>
      </c>
      <c r="G2" s="27">
        <v>1</v>
      </c>
      <c r="H2" s="27" t="str">
        <f>IF('Parecer 2 - Divino'!D6="","não se aplica",'Parecer 2 - Divino'!D6)</f>
        <v>Não há feedback visual claro após adicionar, editar ou excluir uma tarefa. O usuário pode ficar em dúvida se a ação foi executada com sucesso.</v>
      </c>
      <c r="J2" s="27">
        <v>1</v>
      </c>
      <c r="K2" t="str">
        <f>IF('Parecer 2 - Divino'!E6="","não se aplica",'Parecer 2 - Divino'!E6)</f>
        <v>Exibir mensagens de confirmação (toast/snackbar), como "Tarefa adicionada com sucesso" ou "Tarefa removida".</v>
      </c>
      <c r="M2" s="27">
        <v>1</v>
      </c>
      <c r="N2" s="27" t="str">
        <f>IF('Parecer 3 - Felipe'!D6="","não se aplica",'Parecer 3 - Felipe'!D6)</f>
        <v>Não foram encontrados problemas. A página comunica claramente seu propósito e conteúdo em todas as seções.</v>
      </c>
      <c r="P2" s="27">
        <v>1</v>
      </c>
      <c r="Q2" t="str">
        <f>IF('Parecer 3 - Felipe'!E6="","não se aplica",'Parecer 3 - Felipe'!E6)</f>
        <v>Manter a configuração atual.</v>
      </c>
      <c r="T2" s="28"/>
    </row>
    <row r="3" spans="1:20">
      <c r="A3" s="27">
        <v>2</v>
      </c>
      <c r="B3" s="27" t="str">
        <f>IF('Parecer 1 - Caroline'!D7="","não se aplica",'Parecer 1 - Caroline'!D7)</f>
        <v>A maior parte dos termos utilizados é familiar ao usuário, como "Hoje", "Amanhã", "Agenda do Dia" e "Tarefas". Entretanto, usuários podem não compreender imediatamente a diferença entre a visualização semanal e a agenda diária.</v>
      </c>
      <c r="D3" s="27">
        <v>2</v>
      </c>
      <c r="E3" t="str">
        <f>IF('Parecer 1 - Caroline'!E7="","não se aplica",'Parecer 1 - Caroline'!E7)</f>
        <v>Adicionar uma breve descrição ou tooltip explicando a função de cada seção na primeira utilização.</v>
      </c>
      <c r="G3" s="27">
        <v>2</v>
      </c>
      <c r="H3" s="27" t="str">
        <f>IF('Parecer 2 - Divino'!D7="","não se aplica",'Parecer 2 - Divino'!D7)</f>
        <v>O sistema utiliza os termos "Nova Tarefa" e "Nova Missão" para a mesma funcionalidade, podendo gerar confusão.</v>
      </c>
      <c r="J3" s="27">
        <v>2</v>
      </c>
      <c r="K3" t="str">
        <f>IF('Parecer 2 - Divino'!E7="","não se aplica",'Parecer 2 - Divino'!E7)</f>
        <v>Padronizar a nomenclatura utilizando apenas "Tarefa" ou apenas "Missão" em todo o sistema.</v>
      </c>
      <c r="M3" s="27">
        <v>2</v>
      </c>
      <c r="N3" s="27" t="str">
        <f>IF('Parecer 3 - Felipe'!D7="","não se aplica",'Parecer 3 - Felipe'!D7)</f>
        <v>Não foram encontrados problemas. Os textos utilizam linguagem acessível e direta ("Organize sua rotina. No seu ritmo.", "Tarefas do Dia", "Modo Foco"), compatíveis com o vocabulário do público-alvo.</v>
      </c>
      <c r="P3" s="27">
        <v>2</v>
      </c>
      <c r="Q3" t="str">
        <f>IF('Parecer 3 - Felipe'!E7="","não se aplica",'Parecer 3 - Felipe'!E7)</f>
        <v>Manter a configuração atual.</v>
      </c>
    </row>
    <row r="4" spans="1:20">
      <c r="A4" s="27">
        <v>3</v>
      </c>
      <c r="B4" s="27" t="str">
        <f>IF('Parecer 1 - Caroline'!D8="","não se aplica",'Parecer 1 - Caroline'!D8)</f>
        <v>O usuário consegue navegar entre semanas e selecionar qualquer dia da semana exibida. Entretanto, não existe uma forma rápida de retornar para uma data específica distante.</v>
      </c>
      <c r="D4" s="27">
        <v>3</v>
      </c>
      <c r="E4" t="str">
        <f>IF('Parecer 1 - Caroline'!E8="","não se aplica",'Parecer 1 - Caroline'!E8)</f>
        <v>Implementar um seletor de data (Date Picker) para permitir navegação direta para qualquer dia.</v>
      </c>
      <c r="G4" s="27">
        <v>3</v>
      </c>
      <c r="H4" s="27" t="str">
        <f>IF('Parecer 2 - Divino'!D8="","não se aplica",'Parecer 2 - Divino'!D8)</f>
        <v>Não foram identificados problemas relevantes nesta heurística.</v>
      </c>
      <c r="J4" s="27">
        <v>3</v>
      </c>
      <c r="K4" t="str">
        <f>IF('Parecer 2 - Divino'!E8="","não se aplica",'Parecer 2 - Divino'!E8)</f>
        <v>Como melhoria futura, poderia ser adicionada uma opção de "Desfazer" após a exclusão para aumentar ainda mais o controle do usuário.</v>
      </c>
      <c r="M4" s="27">
        <v>3</v>
      </c>
      <c r="N4" s="27" t="str">
        <f>IF('Parecer 3 - Felipe'!D8="","não se aplica",'Parecer 3 - Felipe'!D8)</f>
        <v>Não foram encontrados problemas. A navegação fixa com links âncora permite ao usuário ir e voltar entre seções livremente. O scroll suave contribui para a orientação espacial na página.</v>
      </c>
      <c r="P4" s="27">
        <v>3</v>
      </c>
      <c r="Q4" t="str">
        <f>IF('Parecer 3 - Felipe'!E8="","não se aplica",'Parecer 3 - Felipe'!E8)</f>
        <v>Manter a configuração atual.</v>
      </c>
    </row>
    <row r="5" spans="1:20">
      <c r="A5" s="27">
        <v>4</v>
      </c>
      <c r="B5" s="27" t="str">
        <f>IF('Parecer 1 - Caroline'!D9="","não se aplica",'Parecer 1 - Caroline'!D9)</f>
        <v>Os componentes seguem o mesmo padrão visual, utilizando a mesma paleta de cores, tipografia e estilo dos botões. Não foram encontrados problemas significativos.</v>
      </c>
      <c r="D5" s="27">
        <v>4</v>
      </c>
      <c r="E5" t="str">
        <f>IF('Parecer 1 - Caroline'!E9="","não se aplica",'Parecer 1 - Caroline'!E9)</f>
        <v>Manter a padronização visual em futuras funcionalidades do sistema.</v>
      </c>
      <c r="G5" s="27">
        <v>4</v>
      </c>
      <c r="H5" s="27" t="str">
        <f>IF('Parecer 2 - Divino'!D9="","não se aplica",'Parecer 2 - Divino'!D9)</f>
        <v>Há inconsistência terminológica entre "Tarefa" e "Missão".</v>
      </c>
      <c r="J5" s="27">
        <v>4</v>
      </c>
      <c r="K5" t="str">
        <f>IF('Parecer 2 - Divino'!E9="","não se aplica",'Parecer 2 - Divino'!E9)</f>
        <v>Padronizar termos, ícones e nomenclaturas em todas as telas.</v>
      </c>
      <c r="M5" s="27">
        <v>4</v>
      </c>
      <c r="N5" s="27" t="str">
        <f>IF('Parecer 3 - Felipe'!D9="","não se aplica",'Parecer 3 - Felipe'!D9)</f>
        <v>O link "Ver o App" aparece duplicado na navegação, uma vez nos nav-links (visível no menu) e outra vez como botão CTA separado. Em telas menores o CTA é ocultado via CSS, mas em desktop ambos ficam visíveis simultaneamente, o que pode causar estranhamento visual por repetição.</v>
      </c>
      <c r="P5" s="27">
        <v>4</v>
      </c>
      <c r="Q5" t="str">
        <f>IF('Parecer 3 - Felipe'!E9="","não se aplica",'Parecer 3 - Felipe'!E9)</f>
        <v>Manter apenas o botão CTA destacado na navbar, removendo a entrada duplicada dentro dos nav-links, ou diferenciá-los visualmente com propósitos distintos.</v>
      </c>
    </row>
    <row r="6" spans="1:20">
      <c r="A6" s="27">
        <v>5</v>
      </c>
      <c r="B6" s="27" t="str">
        <f>IF('Parecer 1 - Caroline'!D10="","não se aplica",'Parecer 1 - Caroline'!D10)</f>
        <v>Atualmente o sistema possui poucas ações críticas. Entretanto, futuras funcionalidades envolvendo exclusão de tarefas podem gerar erros de uso.</v>
      </c>
      <c r="D6" s="27">
        <v>5</v>
      </c>
      <c r="E6" t="str">
        <f>IF('Parecer 1 - Caroline'!E10="","não se aplica",'Parecer 1 - Caroline'!E10)</f>
        <v>Adicionar confirmações para ações destrutivas, como exclusão de tarefas ou eventos.</v>
      </c>
      <c r="G6" s="27">
        <v>5</v>
      </c>
      <c r="H6" s="27" t="str">
        <f>IF('Parecer 2 - Divino'!D10="","não se aplica",'Parecer 2 - Divino'!D10)</f>
        <v>O sistema ajuda a prevenir exclusões acidentais por meio de uma confirmação antes da remoção da tarefa. No entanto, não foram observadas validações visíveis para campos obrigatórios no cadastro de tarefas.</v>
      </c>
      <c r="J6" s="27">
        <v>5</v>
      </c>
      <c r="K6" t="str">
        <f>IF('Parecer 2 - Divino'!E10="","não se aplica",'Parecer 2 - Divino'!E10)</f>
        <v>Manter a confirmação de exclusão e implementar validações visuais para campos obrigatórios e formatos inválidos.</v>
      </c>
      <c r="M6" s="27">
        <v>5</v>
      </c>
      <c r="N6" s="27" t="str">
        <f>IF('Parecer 3 - Felipe'!D10="","não se aplica",'Parecer 3 - Felipe'!D10)</f>
        <v>Não foram encontrados problemas. A página é essencialmente informativa e de navegação, sem formulários ou campos de entrada que possam gerar erros de preenchimento.</v>
      </c>
      <c r="P6" s="27">
        <v>5</v>
      </c>
      <c r="Q6" t="str">
        <f>IF('Parecer 3 - Felipe'!E10="","não se aplica",'Parecer 3 - Felipe'!E10)</f>
        <v>Manter a configuração atual.</v>
      </c>
    </row>
    <row r="7" spans="1:20">
      <c r="A7" s="27">
        <v>6</v>
      </c>
      <c r="B7" s="27" t="str">
        <f>IF('Parecer 1 - Caroline'!D11="","não se aplica",'Parecer 1 - Caroline'!D11)</f>
        <v>As informações importantes ficam visíveis na tela, como tarefas do dia, agenda e data selecionada. O usuário não precisa memorizar informações para utilizar o sistema.</v>
      </c>
      <c r="D7" s="27">
        <v>6</v>
      </c>
      <c r="E7" t="str">
        <f>IF('Parecer 1 - Caroline'!E11="","não se aplica",'Parecer 1 - Caroline'!E11)</f>
        <v>Continuar priorizando informações visíveis e reduzir a necessidade de navegação excessiva.</v>
      </c>
      <c r="G7" s="27">
        <v>6</v>
      </c>
      <c r="H7" s="27" t="str">
        <f>IF('Parecer 2 - Divino'!D11="","não se aplica",'Parecer 2 - Divino'!D11)</f>
        <v>Não foram identificados problemas relevantes.</v>
      </c>
      <c r="J7" s="27">
        <v>6</v>
      </c>
      <c r="K7" t="str">
        <f>IF('Parecer 2 - Divino'!E11="","não se aplica",'Parecer 2 - Divino'!E11)</f>
        <v>Manter o padrão atual de identificação visual e textual dos elementos da interface.</v>
      </c>
      <c r="M7" s="27">
        <v>6</v>
      </c>
      <c r="N7" s="27" t="str">
        <f>IF('Parecer 3 - Felipe'!D11="","não se aplica",'Parecer 3 - Felipe'!D11)</f>
        <v>Não foram encontrados problemas. A navegação fixa com rótulos claros (Sobre, Funcionalidades, Screenshots, Equipe) permite que o usuário identifique visualmente onde está e para onde pode ir, sem necessidade de memorização.</v>
      </c>
      <c r="P7" s="27">
        <v>6</v>
      </c>
      <c r="Q7" t="str">
        <f>IF('Parecer 3 - Felipe'!E11="","não se aplica",'Parecer 3 - Felipe'!E11)</f>
        <v>Manter a configuração atual.</v>
      </c>
    </row>
    <row r="8" spans="1:20">
      <c r="A8" s="27">
        <v>7</v>
      </c>
      <c r="B8" s="27" t="str">
        <f>IF('Parecer 1 - Caroline'!D12="","não se aplica",'Parecer 1 - Caroline'!D12)</f>
        <v>Usuários iniciantes conseguem utilizar o calendário facilmente. Porém, usuários mais experientes podem sentir falta de atalhos ou navegação mais rápida.</v>
      </c>
      <c r="D8" s="27">
        <v>7</v>
      </c>
      <c r="E8" t="str">
        <f>IF('Parecer 1 - Caroline'!E12="","não se aplica",'Parecer 1 - Caroline'!E12)</f>
        <v>Adicionar atalhos de teclado e filtros rápidos para melhorar a produtividade.</v>
      </c>
      <c r="G8" s="27">
        <v>7</v>
      </c>
      <c r="H8" s="27" t="str">
        <f>IF('Parecer 2 - Divino'!D12="","não se aplica",'Parecer 2 - Divino'!D12)</f>
        <v>Não foram identificados problemas relevantes</v>
      </c>
      <c r="J8" s="27">
        <v>7</v>
      </c>
      <c r="K8" t="str">
        <f>IF('Parecer 2 - Divino'!E12="","não se aplica",'Parecer 2 - Divino'!E12)</f>
        <v>Manter a organização atual das ações rápidas, garantindo que continuem facilmente acessíveis aos usuários.</v>
      </c>
      <c r="M8" s="27">
        <v>7</v>
      </c>
      <c r="N8" s="27" t="str">
        <f>IF('Parecer 3 - Felipe'!D12="","não se aplica",'Parecer 3 - Felipe'!D12)</f>
        <v>O cursor personalizado é ativado apenas para telas acima de 600px. Em dispositivos móveis a experiência é padrão, o que é adequado. Porém, não há indicador de seção ativa no menu de navegação, o que reduziria a eficiência de orientação para usuários experientes.</v>
      </c>
      <c r="P8" s="27">
        <v>7</v>
      </c>
      <c r="Q8" t="str">
        <f>IF('Parecer 3 - Felipe'!E12="","não se aplica",'Parecer 3 - Felipe'!E12)</f>
        <v xml:space="preserve"> Implementar destaque visual no link de navegação correspondente à seção visível no momento, melhorando a orientação para todos os perfis de usuário.</v>
      </c>
    </row>
    <row r="9" spans="1:20">
      <c r="A9" s="27">
        <v>8</v>
      </c>
      <c r="B9" s="27" t="str">
        <f>IF('Parecer 1 - Caroline'!D13="","não se aplica",'Parecer 1 - Caroline'!D13)</f>
        <v>A interface possui visual limpo, organizado e agradável, utilizando uma paleta suave e poucas distrações visuais. Não foram identificados problemas relevantes.</v>
      </c>
      <c r="D9" s="27">
        <v>8</v>
      </c>
      <c r="E9" t="str">
        <f>IF('Parecer 1 - Caroline'!E13="","não se aplica",'Parecer 1 - Caroline'!E13)</f>
        <v>Manter o design minimalista e evitar excesso de informações na tela principal.</v>
      </c>
      <c r="G9" s="27">
        <v>8</v>
      </c>
      <c r="H9" s="27" t="str">
        <f>IF('Parecer 2 - Divino'!D13="","não se aplica",'Parecer 2 - Divino'!D13)</f>
        <v>O design é limpo e organizado, porém alguns textos possuem contraste baixo com o fundo, dificultando a leitura.</v>
      </c>
      <c r="J9" s="27">
        <v>8</v>
      </c>
      <c r="K9" t="str">
        <f>IF('Parecer 2 - Divino'!E13="","não se aplica",'Parecer 2 - Divino'!E13)</f>
        <v>Melhorar o contraste dos rótulos secundários e informações menores para aumentar a acessibilidade.</v>
      </c>
      <c r="M9" s="27">
        <v>8</v>
      </c>
      <c r="N9" s="27" t="str">
        <f>IF('Parecer 3 - Felipe'!D13="","não se aplica",'Parecer 3 - Felipe'!D13)</f>
        <v>Não foram encontrados problemas. O layout é limpo, com hierarquia visual clara, paleta coesa e sem elementos decorativos excessivos. As seções são bem delimitadas e o conteúdo é direto ao ponto.</v>
      </c>
      <c r="P9" s="27">
        <v>8</v>
      </c>
      <c r="Q9" t="str">
        <f>IF('Parecer 3 - Felipe'!E13="","não se aplica",'Parecer 3 - Felipe'!E13)</f>
        <v>Manter a configuração atual.</v>
      </c>
    </row>
    <row r="10" spans="1:20">
      <c r="A10" s="27">
        <v>9</v>
      </c>
      <c r="B10" s="27" t="str">
        <f>IF('Parecer 1 - Caroline'!D14="","não se aplica",'Parecer 1 - Caroline'!D14)</f>
        <v>Não existem mensagens de erro porque a aplicação ainda não possui integração com backend. Em futuras versões, falhas de carregamento ou salvamento podem não ficar claras ao usuário.</v>
      </c>
      <c r="D10" s="27">
        <v>9</v>
      </c>
      <c r="E10" t="str">
        <f>IF('Parecer 1 - Caroline'!E14="","não se aplica",'Parecer 1 - Caroline'!E14)</f>
        <v>Implementar mensagens amigáveis de erro e feedback para operações futuras envolvendo banco de dados ou APIs.</v>
      </c>
      <c r="G10" s="27">
        <v>9</v>
      </c>
      <c r="H10" s="27" t="str">
        <f>IF('Parecer 2 - Divino'!D14="","não se aplica",'Parecer 2 - Divino'!D14)</f>
        <v>Não são apresentadas mensagens de erro ou orientações quando ocorre um problema de preenchimento ou operação inválida.</v>
      </c>
      <c r="J10" s="27">
        <v>9</v>
      </c>
      <c r="K10" t="str">
        <f>IF('Parecer 2 - Divino'!E14="","não se aplica",'Parecer 2 - Divino'!E14)</f>
        <v>Exibir mensagens claras explicando o erro e orientando o usuário sobre como corrigi-lo.</v>
      </c>
      <c r="M10" s="27">
        <v>9</v>
      </c>
      <c r="N10" s="27" t="str">
        <f>IF('Parecer 3 - Felipe'!D14="","não se aplica",'Parecer 3 - Felipe'!D14)</f>
        <v>Não se aplica diretamente, pois a landing page não possui interações que gerem estados de erro (sem formulários, sem login, sem buscas). A página é essencialmente informativa e não expõe o usuário a situações de erro.</v>
      </c>
      <c r="P10" s="27">
        <v>9</v>
      </c>
      <c r="Q10" t="str">
        <f>IF('Parecer 3 - Felipe'!E14="","não se aplica",'Parecer 3 - Felipe'!E14)</f>
        <v>Manter a configuração atual.</v>
      </c>
    </row>
    <row r="11" spans="1:20">
      <c r="A11" s="27">
        <v>10</v>
      </c>
      <c r="B11" s="27" t="str">
        <f>IF('Parecer 1 - Caroline'!D15="","não se aplica",'Parecer 1 - Caroline'!D15)</f>
        <v>Não há uma seção de ajuda ou explicação das funcionalidades para novos usuários. Usuários podem precisar explorar a interface para compreender todas as funcionalidades.</v>
      </c>
      <c r="D11" s="27">
        <v>10</v>
      </c>
      <c r="E11" t="str">
        <f>IF('Parecer 1 - Caroline'!E15="","não se aplica",'Parecer 1 - Caroline'!E15)</f>
        <v>Adicionar uma tela de onboarding, tutorial inicial ou seção de ajuda explicando os recursos do calendário.</v>
      </c>
      <c r="G11" s="27">
        <v>10</v>
      </c>
      <c r="H11" s="27" t="str">
        <f>IF('Parecer 2 - Divino'!D15="","não se aplica",'Parecer 2 - Divino'!D15)</f>
        <v>Não há opção visível de ajuda, tutorial inicial ou seção de dúvidas frequentes.</v>
      </c>
      <c r="J11" s="27">
        <v>10</v>
      </c>
      <c r="K11" t="str">
        <f>IF('Parecer 2 - Divino'!E15="","não se aplica",'Parecer 2 - Divino'!E15)</f>
        <v>Adicionar um guia rápido de utilização, FAQ ou tour inicial para novos usuários.</v>
      </c>
      <c r="M11" s="27">
        <v>10</v>
      </c>
      <c r="N11" s="27" t="str">
        <f>IF('Parecer 3 - Felipe'!D15="","não se aplica",'Parecer 3 - Felipe'!D15)</f>
        <v>Não foram encontrados problemas. A landing page é autoexplicativa, com descrições claras de cada funcionalidade do app nas feature cards. O público-alvo consegue compreender o propósito do sistema sem necessidade de documentação adicional.</v>
      </c>
      <c r="P11" s="27">
        <v>10</v>
      </c>
      <c r="Q11" t="str">
        <f>IF('Parecer 3 - Felipe'!E15="","não se aplica",'Parecer 3 - Felipe'!E15)</f>
        <v>Manter a configuração atual.</v>
      </c>
    </row>
    <row r="12" spans="1:20">
      <c r="B12" s="27"/>
    </row>
    <row r="13" spans="1:20">
      <c r="A13" s="27" t="s">
        <v>133</v>
      </c>
      <c r="B13" s="27" t="s">
        <v>140</v>
      </c>
      <c r="D13" s="27" t="s">
        <v>133</v>
      </c>
      <c r="E13" s="27" t="s">
        <v>141</v>
      </c>
      <c r="G13" s="27" t="s">
        <v>133</v>
      </c>
      <c r="H13" s="27" t="s">
        <v>142</v>
      </c>
      <c r="J13" s="27" t="s">
        <v>133</v>
      </c>
      <c r="K13" s="27" t="s">
        <v>143</v>
      </c>
      <c r="M13" s="27" t="s">
        <v>133</v>
      </c>
      <c r="N13" s="27" t="s">
        <v>144</v>
      </c>
      <c r="P13" s="27" t="s">
        <v>133</v>
      </c>
      <c r="Q13" s="27" t="s">
        <v>145</v>
      </c>
    </row>
    <row r="14" spans="1:20">
      <c r="A14" s="27">
        <v>1</v>
      </c>
      <c r="B14" s="27" t="str">
        <f>IF('Parecer 4 - Kamila'!D6="","não se aplica",'Parecer 4 - Kamila'!D6)</f>
        <v>O progresso do timer é exibido visualmente e o sistema informa quando o tempo termina. Entretanto, não há um alerta sonoro para chamar a atenção do usuário ao final da contagem.</v>
      </c>
      <c r="D14" s="27">
        <v>1</v>
      </c>
      <c r="E14" t="str">
        <f>IF('Parecer 4 - Kamila'!E6="","não se aplica",'Parecer 4 - Kamila'!E6)</f>
        <v>Adicionar um aviso sonoro ao término do timer. Exibir notificação mesmo com a aba minimizada.</v>
      </c>
      <c r="G14" s="27">
        <v>1</v>
      </c>
      <c r="H14" s="27" t="str">
        <f>IF('Parecer 5 - Luiza'!D6="","não se aplica",'Parecer 5 - Luiza'!D6)</f>
        <v>Quando o usuário tenta logar com o botão "Entrar com Google" o sistema não responde e não mostra nenhuma mensagem, deixando o usuário sem informação do que está acontecendo.</v>
      </c>
      <c r="J14" s="27">
        <v>1</v>
      </c>
      <c r="K14" t="str">
        <f>IF('Parecer 5 - Luiza'!E6="","não se aplica",'Parecer 5 - Luiza'!E6)</f>
        <v>Remover o botão, configurar para que o usuário possa utilizá-lo ou informar ao usuário de que a opção não está disponível no momento.</v>
      </c>
      <c r="M14" s="27">
        <v>1</v>
      </c>
      <c r="N14" s="27" t="str">
        <f>IF('Parecer 6 - Nicole'!D6="","não se aplica",'Parecer 6 - Nicole'!D6)</f>
        <v>Não há feedback visual claro após adicionar ou editar foto de perfil e nome de usuário. O usuário pode ficar em dúvida se a ação foi executada com sucesso.</v>
      </c>
      <c r="P14" s="27">
        <v>1</v>
      </c>
      <c r="Q14" t="str">
        <f>IF('Parecer 6 - Nicole'!E6="","não se aplica",'Parecer 6 - Nicole'!E6)</f>
        <v>Exibir uma mensagem após a execução da tarefa como " nome de usuário ou foto de perfil editado(a) com sucesso".</v>
      </c>
    </row>
    <row r="15" spans="1:20">
      <c r="A15" s="27">
        <v>2</v>
      </c>
      <c r="B15" s="27" t="str">
        <f>IF('Parecer 4 - Kamila'!D7="","não se aplica",'Parecer 4 - Kamila'!D7)</f>
        <v>Não foram identificados problemas relevantes.</v>
      </c>
      <c r="D15" s="27">
        <v>2</v>
      </c>
      <c r="E15" t="str">
        <f>IF('Parecer 4 - Kamila'!E7="","não se aplica",'Parecer 4 - Kamila'!E7)</f>
        <v>Manter a linguagem atual do sistema.</v>
      </c>
      <c r="G15" s="27">
        <v>2</v>
      </c>
      <c r="H15" s="27" t="str">
        <f>IF('Parecer 5 - Luiza'!D7="","não se aplica",'Parecer 5 - Luiza'!D7)</f>
        <v>Não foram encontrados problemas.</v>
      </c>
      <c r="J15" s="27">
        <v>2</v>
      </c>
      <c r="K15" t="str">
        <f>IF('Parecer 5 - Luiza'!E7="","não se aplica",'Parecer 5 - Luiza'!E7)</f>
        <v>Manter a configuração do sistema</v>
      </c>
      <c r="M15" s="27">
        <v>2</v>
      </c>
      <c r="N15" s="27" t="str">
        <f>IF('Parecer 6 - Nicole'!D7="","não se aplica",'Parecer 6 - Nicole'!D7)</f>
        <v>Não há problemas relevantes.</v>
      </c>
      <c r="P15" s="27">
        <v>2</v>
      </c>
      <c r="Q15" t="str">
        <f>IF('Parecer 6 - Nicole'!E7="","não se aplica",'Parecer 6 - Nicole'!E7)</f>
        <v>-</v>
      </c>
    </row>
    <row r="16" spans="1:20">
      <c r="A16" s="27">
        <v>3</v>
      </c>
      <c r="B16" s="27" t="str">
        <f>IF('Parecer 4 - Kamila'!D8="","não se aplica",'Parecer 4 - Kamila'!D8)</f>
        <v>Não foram identificados problemas relevantes.</v>
      </c>
      <c r="D16" s="27">
        <v>3</v>
      </c>
      <c r="E16" t="str">
        <f>IF('Parecer 4 - Kamila'!E8="","não se aplica",'Parecer 4 - Kamila'!E8)</f>
        <v>Manter os controles acessíveis durante toda a execução.</v>
      </c>
      <c r="G16" s="27">
        <v>3</v>
      </c>
      <c r="H16" s="27" t="str">
        <f>IF('Parecer 5 - Luiza'!D8="","não se aplica",'Parecer 5 - Luiza'!D8)</f>
        <v>Não foram encontrados problemas, se o usuário clicar em criar uma nova conta, mas já possuir uma conta, ele tem a opção de voltar à tela de login.</v>
      </c>
      <c r="J16" s="27">
        <v>3</v>
      </c>
      <c r="K16" t="str">
        <f>IF('Parecer 5 - Luiza'!E8="","não se aplica",'Parecer 5 - Luiza'!E8)</f>
        <v>Manter a configuração do sistema</v>
      </c>
      <c r="M16" s="27">
        <v>3</v>
      </c>
      <c r="N16" s="27" t="str">
        <f>IF('Parecer 6 - Nicole'!D8="","não se aplica",'Parecer 6 - Nicole'!D8)</f>
        <v>Não há problemas relevantes.</v>
      </c>
      <c r="P16" s="27">
        <v>3</v>
      </c>
      <c r="Q16" t="str">
        <f>IF('Parecer 6 - Nicole'!E8="","não se aplica",'Parecer 6 - Nicole'!E8)</f>
        <v>-</v>
      </c>
    </row>
    <row r="17" spans="1:29">
      <c r="A17" s="27">
        <v>4</v>
      </c>
      <c r="B17" s="27" t="str">
        <f>IF('Parecer 4 - Kamila'!D9="","não se aplica",'Parecer 4 - Kamila'!D9)</f>
        <v>Não foram identificadas inconsistências relevantes.</v>
      </c>
      <c r="D17" s="27">
        <v>4</v>
      </c>
      <c r="E17" t="str">
        <f>IF('Parecer 4 - Kamila'!E9="","não se aplica",'Parecer 4 - Kamila'!E9)</f>
        <v>Manter a padronização visual em novas funcionalidades.</v>
      </c>
      <c r="G17" s="27">
        <v>4</v>
      </c>
      <c r="H17" s="27" t="str">
        <f>IF('Parecer 5 - Luiza'!D9="","não se aplica",'Parecer 5 - Luiza'!D9)</f>
        <v>Não foram encontrados problemas.</v>
      </c>
      <c r="J17" s="27">
        <v>4</v>
      </c>
      <c r="K17" t="str">
        <f>IF('Parecer 5 - Luiza'!E9="","não se aplica",'Parecer 5 - Luiza'!E9)</f>
        <v>Manter a configuração do sistema</v>
      </c>
      <c r="M17" s="27">
        <v>4</v>
      </c>
      <c r="N17" s="27" t="str">
        <f>IF('Parecer 6 - Nicole'!D9="","não se aplica",'Parecer 6 - Nicole'!D9)</f>
        <v>Não há problemas relevantes.</v>
      </c>
      <c r="P17" s="27">
        <v>4</v>
      </c>
      <c r="Q17" t="str">
        <f>IF('Parecer 6 - Nicole'!E9="","não se aplica",'Parecer 6 - Nicole'!E9)</f>
        <v>-</v>
      </c>
    </row>
    <row r="18" spans="1:29">
      <c r="A18" s="27">
        <v>5</v>
      </c>
      <c r="B18" s="27" t="str">
        <f>IF('Parecer 4 - Kamila'!D10="","não se aplica",'Parecer 4 - Kamila'!D10)</f>
        <v>O sistema impede alterações no tempo enquanto o timer está em execução, evitando mudanças acidentais. Porém, o botão de reiniciar não solicita confirmação.</v>
      </c>
      <c r="D18" s="27">
        <v>5</v>
      </c>
      <c r="E18" t="str">
        <f>IF('Parecer 4 - Kamila'!E10="","não se aplica",'Parecer 4 - Kamila'!E10)</f>
        <v>Adicionar confirmação antes de reiniciar uma sessão em andamento.</v>
      </c>
      <c r="G18" s="27">
        <v>5</v>
      </c>
      <c r="H18" s="27" t="str">
        <f>IF('Parecer 5 - Luiza'!D10="","não se aplica",'Parecer 5 - Luiza'!D10)</f>
        <v>Não foram encontrados problemas.</v>
      </c>
      <c r="J18" s="27">
        <v>5</v>
      </c>
      <c r="K18" t="str">
        <f>IF('Parecer 5 - Luiza'!E10="","não se aplica",'Parecer 5 - Luiza'!E10)</f>
        <v>Manter a configuração do sistema</v>
      </c>
      <c r="M18" s="27">
        <v>5</v>
      </c>
      <c r="N18" s="27" t="str">
        <f>IF('Parecer 6 - Nicole'!D10="","não se aplica",'Parecer 6 - Nicole'!D10)</f>
        <v>Não há confirmação visual clara antes de editar ou adicionar foto de perfil e nome de usuário.</v>
      </c>
      <c r="P18" s="27">
        <v>5</v>
      </c>
      <c r="Q18" t="str">
        <f>IF('Parecer 6 - Nicole'!E10="","não se aplica",'Parecer 6 - Nicole'!E10)</f>
        <v xml:space="preserve">Exibir uma mensagem para confirmação da execução da ação. Exemplo: "Você deseja mesmo editar o nome de usuário de"Nicole " para"Nicole 123 "Nicole123" ?" </v>
      </c>
    </row>
    <row r="19" spans="1:29">
      <c r="A19" s="27">
        <v>6</v>
      </c>
      <c r="B19" s="27" t="str">
        <f>IF('Parecer 4 - Kamila'!D11="","não se aplica",'Parecer 4 - Kamila'!D11)</f>
        <v>Não foram identificados problemas relevantes.</v>
      </c>
      <c r="D19" s="27">
        <v>6</v>
      </c>
      <c r="E19" t="str">
        <f>IF('Parecer 4 - Kamila'!E11="","não se aplica",'Parecer 4 - Kamila'!E11)</f>
        <v>Manter a organização atual da interface.</v>
      </c>
      <c r="G19" s="27">
        <v>6</v>
      </c>
      <c r="H19" s="27" t="str">
        <f>IF('Parecer 5 - Luiza'!D11="","não se aplica",'Parecer 5 - Luiza'!D11)</f>
        <v>Não foram encontrados problemas, a tela de login é limpa e sugestiva às ações do usuário.</v>
      </c>
      <c r="J19" s="27">
        <v>6</v>
      </c>
      <c r="K19" t="str">
        <f>IF('Parecer 5 - Luiza'!E11="","não se aplica",'Parecer 5 - Luiza'!E11)</f>
        <v>Manter a configuração do sistema</v>
      </c>
      <c r="M19" s="27">
        <v>6</v>
      </c>
      <c r="N19" s="27" t="str">
        <f>IF('Parecer 6 - Nicole'!D11="","não se aplica",'Parecer 6 - Nicole'!D11)</f>
        <v>Não há problemas relevantes.</v>
      </c>
      <c r="P19" s="27">
        <v>6</v>
      </c>
      <c r="Q19" t="str">
        <f>IF('Parecer 6 - Nicole'!E11="","não se aplica",'Parecer 6 - Nicole'!E11)</f>
        <v>-</v>
      </c>
    </row>
    <row r="20" spans="1:29">
      <c r="A20" s="27">
        <v>7</v>
      </c>
      <c r="B20" s="27" t="str">
        <f>IF('Parecer 4 - Kamila'!D12="","não se aplica",'Parecer 4 - Kamila'!D12)</f>
        <v>O seletor de tempo existe, mas não comunica visualmente que é interativo, o número parece texto estático, o que pode confundir usuários na primeira vez.</v>
      </c>
      <c r="D20" s="27">
        <v>7</v>
      </c>
      <c r="E20" t="str">
        <f>IF('Parecer 4 - Kamila'!E12="","não se aplica",'Parecer 4 - Kamila'!E12)</f>
        <v>Adicionar indicador visual (ícone de edição, sublinhado ou destaque) para sinalizar que o tempo é editável.</v>
      </c>
      <c r="G20" s="27">
        <v>7</v>
      </c>
      <c r="H20" s="27" t="str">
        <f>IF('Parecer 5 - Luiza'!D12="","não se aplica",'Parecer 5 - Luiza'!D12)</f>
        <v>Não foram encontrados problemas.</v>
      </c>
      <c r="J20" s="27">
        <v>7</v>
      </c>
      <c r="K20" t="str">
        <f>IF('Parecer 5 - Luiza'!E12="","não se aplica",'Parecer 5 - Luiza'!E12)</f>
        <v>Manter a configuração do sistema</v>
      </c>
      <c r="M20" s="27">
        <v>7</v>
      </c>
      <c r="N20" s="27" t="str">
        <f>IF('Parecer 6 - Nicole'!D12="","não se aplica",'Parecer 6 - Nicole'!D12)</f>
        <v>Não há problemas relevantes.</v>
      </c>
      <c r="P20" s="27">
        <v>7</v>
      </c>
      <c r="Q20" t="str">
        <f>IF('Parecer 6 - Nicole'!E12="","não se aplica",'Parecer 6 - Nicole'!E12)</f>
        <v>-</v>
      </c>
    </row>
    <row r="21" spans="1:29">
      <c r="A21" s="27">
        <v>8</v>
      </c>
      <c r="B21" s="27" t="str">
        <f>IF('Parecer 4 - Kamila'!D13="","não se aplica",'Parecer 4 - Kamila'!D13)</f>
        <v>Não foram identificados problemas relevantes.</v>
      </c>
      <c r="D21" s="27">
        <v>8</v>
      </c>
      <c r="E21" t="str">
        <f>IF('Parecer 4 - Kamila'!E13="","não se aplica",'Parecer 4 - Kamila'!E13)</f>
        <v>Manter o design simples e objetivo.</v>
      </c>
      <c r="G21" s="27">
        <v>8</v>
      </c>
      <c r="H21" s="27" t="str">
        <f>IF('Parecer 5 - Luiza'!D13="","não se aplica",'Parecer 5 - Luiza'!D13)</f>
        <v>Não foram encontrados problemas.</v>
      </c>
      <c r="J21" s="27">
        <v>8</v>
      </c>
      <c r="K21" t="str">
        <f>IF('Parecer 5 - Luiza'!E13="","não se aplica",'Parecer 5 - Luiza'!E13)</f>
        <v>Manter a configuração do sistema</v>
      </c>
      <c r="M21" s="27">
        <v>8</v>
      </c>
      <c r="N21" s="27" t="str">
        <f>IF('Parecer 6 - Nicole'!D13="","não se aplica",'Parecer 6 - Nicole'!D13)</f>
        <v>Não há problemas relevantes.</v>
      </c>
      <c r="P21" s="27">
        <v>8</v>
      </c>
      <c r="Q21" t="str">
        <f>IF('Parecer 6 - Nicole'!E13="","não se aplica",'Parecer 6 - Nicole'!E13)</f>
        <v>-</v>
      </c>
    </row>
    <row r="22" spans="1:29">
      <c r="A22" s="27">
        <v>9</v>
      </c>
      <c r="B22" s="27" t="str">
        <f>IF('Parecer 4 - Kamila'!D14="","não se aplica",'Parecer 4 - Kamila'!D14)</f>
        <v>Não há mensagens específicas orientando o usuário caso ocorra algum erro ou ação inválida.</v>
      </c>
      <c r="D22" s="27">
        <v>9</v>
      </c>
      <c r="E22" t="str">
        <f>IF('Parecer 4 - Kamila'!E14="","não se aplica",'Parecer 4 - Kamila'!E14)</f>
        <v>Exibir mensagens explicativas quando alguma ação não puder ser realizada.</v>
      </c>
      <c r="G22" s="27">
        <v>9</v>
      </c>
      <c r="H22" s="27" t="str">
        <f>IF('Parecer 5 - Luiza'!D14="","não se aplica",'Parecer 5 - Luiza'!D14)</f>
        <v>Não foram encontrados problemas, as mensagens de erro de senha ou e-mail são claras e objetivas</v>
      </c>
      <c r="J22" s="27">
        <v>9</v>
      </c>
      <c r="K22" t="str">
        <f>IF('Parecer 5 - Luiza'!E14="","não se aplica",'Parecer 5 - Luiza'!E14)</f>
        <v>Manter a configuração do sistema</v>
      </c>
      <c r="M22" s="27">
        <v>9</v>
      </c>
      <c r="N22" s="27" t="str">
        <f>IF('Parecer 6 - Nicole'!D14="","não se aplica",'Parecer 6 - Nicole'!D14)</f>
        <v xml:space="preserve">Não há mensagens para problemas de erro ou operação inválida. </v>
      </c>
      <c r="P22" s="27">
        <v>9</v>
      </c>
      <c r="Q22" t="str">
        <f>IF('Parecer 6 - Nicole'!E14="","não se aplica",'Parecer 6 - Nicole'!E14)</f>
        <v>Adicionar mensagens para problemas de erro ou operação inválida que oriente o usuário sobre como corrigi-lo.</v>
      </c>
    </row>
    <row r="23" spans="1:29">
      <c r="A23" s="27">
        <v>10</v>
      </c>
      <c r="B23" s="27" t="str">
        <f>IF('Parecer 4 - Kamila'!D15="","não se aplica",'Parecer 4 - Kamila'!D15)</f>
        <v>O sistema é simples de usar, mas não possui uma área de ajuda ou orientações para novos usuários.</v>
      </c>
      <c r="D23" s="27">
        <v>10</v>
      </c>
      <c r="E23" t="str">
        <f>IF('Parecer 4 - Kamila'!E15="","não se aplica",'Parecer 4 - Kamila'!E15)</f>
        <v>Adicionar uma breve explicação das funcionalidades na primeira utilização do sistema.</v>
      </c>
      <c r="G23" s="27">
        <v>10</v>
      </c>
      <c r="H23" s="27" t="str">
        <f>IF('Parecer 5 - Luiza'!D15="","não se aplica",'Parecer 5 - Luiza'!D15)</f>
        <v>A tela de login é intuitiva e autoexplicativa, seguindo padrões de outros sistemas já existentes, portanto dispensando documentação para acessar.</v>
      </c>
      <c r="J23" s="27">
        <v>10</v>
      </c>
      <c r="K23" t="str">
        <f>IF('Parecer 5 - Luiza'!E15="","não se aplica",'Parecer 5 - Luiza'!E15)</f>
        <v>Manter a configuração do sistema</v>
      </c>
      <c r="M23" s="27">
        <v>10</v>
      </c>
      <c r="N23" s="27" t="str">
        <f>IF('Parecer 6 - Nicole'!D15="","não se aplica",'Parecer 6 - Nicole'!D15)</f>
        <v>Não há nenhuma seção para ajuda ou documentação.</v>
      </c>
      <c r="P23" s="27">
        <v>10</v>
      </c>
      <c r="Q23" t="str">
        <f>IF('Parecer 6 - Nicole'!E15="","não se aplica",'Parecer 6 - Nicole'!E15)</f>
        <v>Adicionar uma área visível para ajuda e explicação das funcionando com exemplos para novos usuários.</v>
      </c>
    </row>
    <row r="25" spans="1:29">
      <c r="A25" s="27"/>
      <c r="B25" s="27"/>
      <c r="D25" s="27"/>
    </row>
    <row r="27" spans="1:29" ht="96.75">
      <c r="A27" s="28" t="str">
        <f>_xlfn.TEXTJOIN(CHAR(10),TRUE,"1. "&amp;B2,"2. "&amp;H2,"3. "&amp;N2,"4. "&amp;B14,"5. "&amp;H14,"6. "&amp;N14)</f>
        <v>1. O sistema apresenta o dia selecionado, tarefas e agenda de forma clara. Porém, ao marcar uma tarefa como concluída, não existe uma confirmação visual muito evidente além do texto riscado.
2. Não há feedback visual claro após adicionar, editar ou excluir uma tarefa. O usuário pode ficar em dúvida se a ação foi executada com sucesso.
3. Não foram encontrados problemas. A página comunica claramente seu propósito e conteúdo em todas as seções.
4. O progresso do timer é exibido visualmente e o sistema informa quando o tempo termina. Entretanto, não há um alerta sonoro para chamar a atenção do usuário ao final da contagem.
5. Quando o usuário tenta logar com o botão "Entrar com Google" o sistema não responde e não mostra nenhuma mensagem, deixando o usuário sem informação do que está acontecendo.
6. Não há feedback visual claro após adicionar ou editar foto de perfil e nome de usuário. O usuário pode ficar em dúvida se a ação foi executada com sucesso.</v>
      </c>
      <c r="B27" s="26" t="str">
        <f>_xlfn.TEXTJOIN(CHAR(10),TRUE,"1. "&amp;E2,"2. "&amp;K2,"3. "&amp;Q2,"4. "&amp;E14,"5. "&amp;K14,"6. "&amp;Q14)</f>
        <v>1. O sistema apresenta o dia selecionado, tarefas e agenda de forma clara. Porém, ao marcar uma tarefa como concluída, não existe uma confirmação visual muito evidente além do texto riscado.
2. Exibir mensagens de confirmação (toast/snackbar), como "Tarefa adicionada com sucesso" ou "Tarefa removida".
3. Manter a configuração atual.
4. Adicionar um aviso sonoro ao término do timer. Exibir notificação mesmo com a aba minimizada.
5. Remover o botão, configurar para que o usuário possa utilizá-lo ou informar ao usuário de que a opção não está disponível no momento.
6. Exibir uma mensagem após a execução da tarefa como " nome de usuário ou foto de perfil editado(a) com sucesso".</v>
      </c>
      <c r="C27">
        <v>1</v>
      </c>
      <c r="D27" s="28"/>
      <c r="E27" s="28"/>
      <c r="G27" s="28"/>
      <c r="H27" s="28"/>
      <c r="J27" s="28"/>
      <c r="K27" s="28"/>
      <c r="M27" s="28"/>
      <c r="N27" s="28"/>
      <c r="P27" s="28"/>
      <c r="Q27" s="28"/>
      <c r="S27" s="28"/>
      <c r="T27" s="28"/>
      <c r="V27" s="28"/>
      <c r="W27" s="28"/>
      <c r="Y27" s="28"/>
      <c r="Z27" s="28"/>
      <c r="AB27" s="28"/>
      <c r="AC27" s="28"/>
    </row>
    <row r="28" spans="1:29" ht="96.75">
      <c r="A28" s="28" t="str">
        <f>_xlfn.TEXTJOIN(CHAR(10),TRUE,"1. "&amp;B3,"2. "&amp;H3,"3. "&amp;N3,"4. "&amp;B15,"5. "&amp;H15,"6. "&amp;N15)</f>
        <v>1. A maior parte dos termos utilizados é familiar ao usuário, como "Hoje", "Amanhã", "Agenda do Dia" e "Tarefas". Entretanto, usuários podem não compreender imediatamente a diferença entre a visualização semanal e a agenda diária.
2. O sistema utiliza os termos "Nova Tarefa" e "Nova Missão" para a mesma funcionalidade, podendo gerar confusão.
3. Não foram encontrados problemas. Os textos utilizam linguagem acessível e direta ("Organize sua rotina. No seu ritmo.", "Tarefas do Dia", "Modo Foco"), compatíveis com o vocabulário do público-alvo.
4. Não foram identificados problemas relevantes.
5. Não foram encontrados problemas.
6. Não há problemas relevantes.</v>
      </c>
      <c r="B28" s="28" t="str">
        <f>_xlfn.TEXTJOIN(CHAR(10),TRUE,"1. "&amp;B4,"2. "&amp;H4,"3. "&amp;N4,"4. "&amp;B16,"5. "&amp;H16,"6. "&amp;N16)</f>
        <v>1. O usuário consegue navegar entre semanas e selecionar qualquer dia da semana exibida. Entretanto, não existe uma forma rápida de retornar para uma data específica distante.
2. Não foram identificados problemas relevantes nesta heurística.
3. Não foram encontrados problemas. A navegação fixa com links âncora permite ao usuário ir e voltar entre seções livremente. O scroll suave contribui para a orientação espacial na página.
4. Não foram identificados problemas relevantes.
5. Não foram encontrados problemas, se o usuário clicar em criar uma nova conta, mas já possuir uma conta, ele tem a opção de voltar à tela de login.
6. Não há problemas relevantes.</v>
      </c>
      <c r="C28">
        <v>2</v>
      </c>
      <c r="G28" s="28"/>
      <c r="H28" s="28"/>
    </row>
    <row r="29" spans="1:29" ht="96.75">
      <c r="A29" s="28" t="str">
        <f>_xlfn.TEXTJOIN(CHAR(10),TRUE,"1. "&amp;B4,"2. "&amp;H4,"3. "&amp;N4,"4. "&amp;B16,"5. "&amp;H16,"6. "&amp;N16)</f>
        <v>1. O usuário consegue navegar entre semanas e selecionar qualquer dia da semana exibida. Entretanto, não existe uma forma rápida de retornar para uma data específica distante.
2. Não foram identificados problemas relevantes nesta heurística.
3. Não foram encontrados problemas. A navegação fixa com links âncora permite ao usuário ir e voltar entre seções livremente. O scroll suave contribui para a orientação espacial na página.
4. Não foram identificados problemas relevantes.
5. Não foram encontrados problemas, se o usuário clicar em criar uma nova conta, mas já possuir uma conta, ele tem a opção de voltar à tela de login.
6. Não há problemas relevantes.</v>
      </c>
      <c r="B29" s="28" t="str">
        <f>_xlfn.TEXTJOIN(CHAR(10),TRUE,"1. "&amp;E4,"2. "&amp;K4,"3. "&amp;Q4,"4. "&amp;E16,"5. "&amp;K16,"6. "&amp;Q16)</f>
        <v>1. Implementar um seletor de data (Date Picker) para permitir navegação direta para qualquer dia.
2. Como melhoria futura, poderia ser adicionada uma opção de "Desfazer" após a exclusão para aumentar ainda mais o controle do usuário.
3. Manter a configuração atual.
4. Manter os controles acessíveis durante toda a execução.
5. Manter a configuração do sistema
6. -</v>
      </c>
      <c r="C29">
        <v>3</v>
      </c>
    </row>
    <row r="30" spans="1:29" ht="96.75">
      <c r="A30" s="28" t="str">
        <f>_xlfn.TEXTJOIN(CHAR(10),TRUE,"1. "&amp;B5,"2. "&amp;H5,"3. "&amp;N5,"4. "&amp;B17,"5. "&amp;H17,"6. "&amp;N17)</f>
        <v>1. Os componentes seguem o mesmo padrão visual, utilizando a mesma paleta de cores, tipografia e estilo dos botões. Não foram encontrados problemas significativos.
2. Há inconsistência terminológica entre "Tarefa" e "Missão".
3. O link "Ver o App" aparece duplicado na navegação, uma vez nos nav-links (visível no menu) e outra vez como botão CTA separado. Em telas menores o CTA é ocultado via CSS, mas em desktop ambos ficam visíveis simultaneamente, o que pode causar estranhamento visual por repetição.
4. Não foram identificadas inconsistências relevantes.
5. Não foram encontrados problemas.
6. Não há problemas relevantes.</v>
      </c>
      <c r="B30" s="28" t="str">
        <f>_xlfn.TEXTJOIN(CHAR(10),TRUE,"1. "&amp;E5,"2. "&amp;K5,"3. "&amp;Q5,"4. "&amp;E17,"5. "&amp;K17,"6. "&amp;Q17)</f>
        <v>1. Manter a padronização visual em futuras funcionalidades do sistema.
2. Padronizar termos, ícones e nomenclaturas em todas as telas.
3. Manter apenas o botão CTA destacado na navbar, removendo a entrada duplicada dentro dos nav-links, ou diferenciá-los visualmente com propósitos distintos.
4. Manter a padronização visual em novas funcionalidades.
5. Manter a configuração do sistema
6. -</v>
      </c>
      <c r="C30">
        <v>4</v>
      </c>
    </row>
    <row r="31" spans="1:29" ht="96.75">
      <c r="A31" s="28" t="str">
        <f>_xlfn.TEXTJOIN(CHAR(10),TRUE,"1. "&amp;B6,"2. "&amp;H6,"3. "&amp;N6,"4. "&amp;B18,"5. "&amp;H18,"6. "&amp;N18)</f>
        <v>1. Atualmente o sistema possui poucas ações críticas. Entretanto, futuras funcionalidades envolvendo exclusão de tarefas podem gerar erros de uso.
2. O sistema ajuda a prevenir exclusões acidentais por meio de uma confirmação antes da remoção da tarefa. No entanto, não foram observadas validações visíveis para campos obrigatórios no cadastro de tarefas.
3. Não foram encontrados problemas. A página é essencialmente informativa e de navegação, sem formulários ou campos de entrada que possam gerar erros de preenchimento.
4. O sistema impede alterações no tempo enquanto o timer está em execução, evitando mudanças acidentais. Porém, o botão de reiniciar não solicita confirmação.
5. Não foram encontrados problemas.
6. Não há confirmação visual clara antes de editar ou adicionar foto de perfil e nome de usuário.</v>
      </c>
      <c r="B31" s="28" t="str">
        <f>_xlfn.TEXTJOIN(CHAR(10),TRUE,"1. "&amp;E6,"2. "&amp;K6,"3. "&amp;Q6,"4. "&amp;E18,"5. "&amp;K18,"6. "&amp;Q18)</f>
        <v xml:space="preserve">1. Adicionar confirmações para ações destrutivas, como exclusão de tarefas ou eventos.
2. Manter a confirmação de exclusão e implementar validações visuais para campos obrigatórios e formatos inválidos.
3. Manter a configuração atual.
4. Adicionar confirmação antes de reiniciar uma sessão em andamento.
5. Manter a configuração do sistema
6. Exibir uma mensagem para confirmação da execução da ação. Exemplo: "Você deseja mesmo editar o nome de usuário de"Nicole " para"Nicole 123 "Nicole123" ?" </v>
      </c>
      <c r="C31">
        <v>5</v>
      </c>
    </row>
    <row r="32" spans="1:29" ht="96.75">
      <c r="A32" s="28" t="str">
        <f>_xlfn.TEXTJOIN(CHAR(10),TRUE,"1. "&amp;B7,"2. "&amp;H7,"3. "&amp;N7,"4. "&amp;B19,"5. "&amp;H19,"6. "&amp;N19)</f>
        <v>1. As informações importantes ficam visíveis na tela, como tarefas do dia, agenda e data selecionada. O usuário não precisa memorizar informações para utilizar o sistema.
2. Não foram identificados problemas relevantes.
3. Não foram encontrados problemas. A navegação fixa com rótulos claros (Sobre, Funcionalidades, Screenshots, Equipe) permite que o usuário identifique visualmente onde está e para onde pode ir, sem necessidade de memorização.
4. Não foram identificados problemas relevantes.
5. Não foram encontrados problemas, a tela de login é limpa e sugestiva às ações do usuário.
6. Não há problemas relevantes.</v>
      </c>
      <c r="B32" s="28" t="str">
        <f>_xlfn.TEXTJOIN(CHAR(10),TRUE,"1. "&amp;E7,"2. "&amp;K7,"3. "&amp;Q7,"4. "&amp;E19,"5. "&amp;K19,"6. "&amp;Q19)</f>
        <v>1. Continuar priorizando informações visíveis e reduzir a necessidade de navegação excessiva.
2. Manter o padrão atual de identificação visual e textual dos elementos da interface.
3. Manter a configuração atual.
4. Manter a organização atual da interface.
5. Manter a configuração do sistema
6. -</v>
      </c>
      <c r="C32">
        <v>6</v>
      </c>
    </row>
    <row r="33" spans="1:4" ht="96.75">
      <c r="A33" s="29" t="str">
        <f>_xlfn.TEXTJOIN(CHAR(10),TRUE,"1. "&amp;B8,"2. "&amp;H8,"3. "&amp;N8,"4. "&amp;B20,"5. "&amp;H20,"6. "&amp;N20)</f>
        <v>1. Usuários iniciantes conseguem utilizar o calendário facilmente. Porém, usuários mais experientes podem sentir falta de atalhos ou navegação mais rápida.
2. Não foram identificados problemas relevantes
3. O cursor personalizado é ativado apenas para telas acima de 600px. Em dispositivos móveis a experiência é padrão, o que é adequado. Porém, não há indicador de seção ativa no menu de navegação, o que reduziria a eficiência de orientação para usuários experientes.
4. O seletor de tempo existe, mas não comunica visualmente que é interativo, o número parece texto estático, o que pode confundir usuários na primeira vez.
5. Não foram encontrados problemas.
6. Não há problemas relevantes.</v>
      </c>
      <c r="B33" s="29" t="str">
        <f>_xlfn.TEXTJOIN(CHAR(10),TRUE,"1. "&amp;E8,"2. "&amp;K8,"3. "&amp;Q8,"4. "&amp;E20,"5. "&amp;K20,"6. "&amp;Q20)</f>
        <v>1. Adicionar atalhos de teclado e filtros rápidos para melhorar a produtividade.
2. Manter a organização atual das ações rápidas, garantindo que continuem facilmente acessíveis aos usuários.
3.  Implementar destaque visual no link de navegação correspondente à seção visível no momento, melhorando a orientação para todos os perfis de usuário.
4. Adicionar indicador visual (ícone de edição, sublinhado ou destaque) para sinalizar que o tempo é editável.
5. Manter a configuração do sistema
6. -</v>
      </c>
      <c r="C33">
        <v>7</v>
      </c>
      <c r="D33" s="27"/>
    </row>
    <row r="34" spans="1:4" ht="96.75">
      <c r="A34" s="28" t="str">
        <f>_xlfn.TEXTJOIN(CHAR(10),TRUE,"1. "&amp;B9,"2. "&amp;H9,"3. "&amp;N9,"4. "&amp;B21,"5. "&amp;H21,"6. "&amp;N21)</f>
        <v>1. A interface possui visual limpo, organizado e agradável, utilizando uma paleta suave e poucas distrações visuais. Não foram identificados problemas relevantes.
2. O design é limpo e organizado, porém alguns textos possuem contraste baixo com o fundo, dificultando a leitura.
3. Não foram encontrados problemas. O layout é limpo, com hierarquia visual clara, paleta coesa e sem elementos decorativos excessivos. As seções são bem delimitadas e o conteúdo é direto ao ponto.
4. Não foram identificados problemas relevantes.
5. Não foram encontrados problemas.
6. Não há problemas relevantes.</v>
      </c>
      <c r="B34" s="28" t="str">
        <f>_xlfn.TEXTJOIN(CHAR(10),TRUE,"1. "&amp;E9,"2. "&amp;K9,"3. "&amp;Q9,"4. "&amp;E21,"5. "&amp;K21,"6. "&amp;Q21)</f>
        <v>1. Manter o design minimalista e evitar excesso de informações na tela principal.
2. Melhorar o contraste dos rótulos secundários e informações menores para aumentar a acessibilidade.
3. Manter a configuração atual.
4. Manter o design simples e objetivo.
5. Manter a configuração do sistema
6. -</v>
      </c>
      <c r="C34">
        <v>8</v>
      </c>
    </row>
    <row r="35" spans="1:4" ht="96.75">
      <c r="A35" s="28" t="str">
        <f>_xlfn.TEXTJOIN(CHAR(10),TRUE,"1. "&amp;B10,"2. "&amp;H10,"3. "&amp;N10,"4. "&amp;B22,"5. "&amp;H22,"6. "&amp;N22)</f>
        <v xml:space="preserve">1. Não existem mensagens de erro porque a aplicação ainda não possui integração com backend. Em futuras versões, falhas de carregamento ou salvamento podem não ficar claras ao usuário.
2. Não são apresentadas mensagens de erro ou orientações quando ocorre um problema de preenchimento ou operação inválida.
3. Não se aplica diretamente, pois a landing page não possui interações que gerem estados de erro (sem formulários, sem login, sem buscas). A página é essencialmente informativa e não expõe o usuário a situações de erro.
4. Não há mensagens específicas orientando o usuário caso ocorra algum erro ou ação inválida.
5. Não foram encontrados problemas, as mensagens de erro de senha ou e-mail são claras e objetivas
6. Não há mensagens para problemas de erro ou operação inválida. </v>
      </c>
      <c r="B35" s="28" t="str">
        <f>_xlfn.TEXTJOIN(CHAR(10),TRUE,"1. "&amp;E10,"2. "&amp;K10,"3. "&amp;Q10,"4. "&amp;E22,"5. "&amp;K22,"6. "&amp;Q22)</f>
        <v>1. Implementar mensagens amigáveis de erro e feedback para operações futuras envolvendo banco de dados ou APIs.
2. Exibir mensagens claras explicando o erro e orientando o usuário sobre como corrigi-lo.
3. Manter a configuração atual.
4. Exibir mensagens explicativas quando alguma ação não puder ser realizada.
5. Manter a configuração do sistema
6. Adicionar mensagens para problemas de erro ou operação inválida que oriente o usuário sobre como corrigi-lo.</v>
      </c>
      <c r="C35">
        <v>9</v>
      </c>
    </row>
    <row r="36" spans="1:4" ht="96.75">
      <c r="A36" s="28" t="str">
        <f>_xlfn.TEXTJOIN(CHAR(10),TRUE,"1. "&amp;B11,"2. "&amp;H11,"3. "&amp;N11,"4. "&amp;B23,"5. "&amp;H23,"6. "&amp;N23)</f>
        <v>1. Não há uma seção de ajuda ou explicação das funcionalidades para novos usuários. Usuários podem precisar explorar a interface para compreender todas as funcionalidades.
2. Não há opção visível de ajuda, tutorial inicial ou seção de dúvidas frequentes.
3. Não foram encontrados problemas. A landing page é autoexplicativa, com descrições claras de cada funcionalidade do app nas feature cards. O público-alvo consegue compreender o propósito do sistema sem necessidade de documentação adicional.
4. O sistema é simples de usar, mas não possui uma área de ajuda ou orientações para novos usuários.
5. A tela de login é intuitiva e autoexplicativa, seguindo padrões de outros sistemas já existentes, portanto dispensando documentação para acessar.
6. Não há nenhuma seção para ajuda ou documentação.</v>
      </c>
      <c r="B36" s="28" t="str">
        <f>_xlfn.TEXTJOIN(CHAR(10),TRUE,"1. "&amp;E11,"2. "&amp;K11,"3. "&amp;Q11,"4. "&amp;E23,"5. "&amp;K23,"6. "&amp;Q23)</f>
        <v>1. Adicionar uma tela de onboarding, tutorial inicial ou seção de ajuda explicando os recursos do calendário.
2. Adicionar um guia rápido de utilização, FAQ ou tour inicial para novos usuários.
3. Manter a configuração atual.
4. Adicionar uma breve explicação das funcionalidades na primeira utilização do sistema.
5. Manter a configuração do sistema
6. Adicionar uma área visível para ajuda e explicação das funcionando com exemplos para novos usuários.</v>
      </c>
      <c r="C36">
        <v>10</v>
      </c>
    </row>
    <row r="41" spans="1:4">
      <c r="A41" s="27"/>
      <c r="B41" s="27"/>
      <c r="D41" s="27"/>
    </row>
    <row r="49" spans="1:4">
      <c r="A49" s="27"/>
      <c r="B49" s="27"/>
      <c r="D49" s="27"/>
    </row>
    <row r="57" spans="1:4">
      <c r="A57" s="27"/>
      <c r="B57" s="27"/>
      <c r="D57" s="27"/>
    </row>
    <row r="65" spans="1:4">
      <c r="A65" s="27"/>
      <c r="B65" s="27"/>
      <c r="D65" s="27"/>
    </row>
    <row r="73" spans="1:4">
      <c r="A73" s="27"/>
      <c r="B73" s="27"/>
      <c r="D73" s="27"/>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Simone Alves Nogueira</dc:creator>
  <cp:keywords/>
  <dc:description/>
  <cp:lastModifiedBy/>
  <cp:revision>3</cp:revision>
  <dcterms:created xsi:type="dcterms:W3CDTF">2019-11-19T16:40:41Z</dcterms:created>
  <dcterms:modified xsi:type="dcterms:W3CDTF">2026-06-08T19:06:45Z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